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DieseArbeitsmappe"/>
  <bookViews>
    <workbookView xWindow="0" yWindow="0" windowWidth="19230" windowHeight="8100"/>
  </bookViews>
  <sheets>
    <sheet name="ISA" sheetId="1" r:id="rId1"/>
    <sheet name="SYMS" sheetId="2" r:id="rId2"/>
    <sheet name="Busses" sheetId="3" r:id="rId3"/>
  </sheets>
  <calcPr calcId="124519"/>
</workbook>
</file>

<file path=xl/calcChain.xml><?xml version="1.0" encoding="utf-8"?>
<calcChain xmlns="http://schemas.openxmlformats.org/spreadsheetml/2006/main">
  <c r="X272" i="1"/>
  <c r="W272"/>
  <c r="V272"/>
  <c r="X268"/>
  <c r="W268"/>
  <c r="V268"/>
  <c r="X266"/>
  <c r="W266"/>
  <c r="V266"/>
  <c r="X263"/>
  <c r="W263"/>
  <c r="V263"/>
  <c r="X242"/>
  <c r="W242"/>
  <c r="V242"/>
  <c r="X238"/>
  <c r="W238"/>
  <c r="V238"/>
  <c r="X236"/>
  <c r="W236"/>
  <c r="V236"/>
  <c r="X233"/>
  <c r="W233"/>
  <c r="V233"/>
  <c r="X227"/>
  <c r="W227"/>
  <c r="V227"/>
  <c r="X223"/>
  <c r="W223"/>
  <c r="V223"/>
  <c r="X221"/>
  <c r="W221"/>
  <c r="V221"/>
  <c r="X218"/>
  <c r="W218"/>
  <c r="V218"/>
  <c r="P666"/>
  <c r="P665"/>
  <c r="P663"/>
  <c r="P662"/>
  <c r="P660"/>
  <c r="P659"/>
  <c r="P657"/>
  <c r="P656"/>
  <c r="P653"/>
  <c r="P650"/>
  <c r="P648"/>
  <c r="P647"/>
  <c r="P645"/>
  <c r="P644"/>
  <c r="P642"/>
  <c r="P641"/>
  <c r="P639"/>
  <c r="P638"/>
  <c r="P635"/>
  <c r="P632"/>
  <c r="P628"/>
  <c r="P627"/>
  <c r="P625"/>
  <c r="P624"/>
  <c r="P620"/>
  <c r="P612"/>
  <c r="P609"/>
  <c r="P607"/>
  <c r="P606"/>
  <c r="P604"/>
  <c r="P603"/>
  <c r="P601"/>
  <c r="P598"/>
  <c r="P595"/>
  <c r="P592"/>
  <c r="P589"/>
  <c r="P586"/>
  <c r="P578"/>
  <c r="P574"/>
  <c r="P573"/>
  <c r="P569"/>
  <c r="P568"/>
  <c r="P565"/>
  <c r="P562"/>
  <c r="P558"/>
  <c r="P557"/>
  <c r="P553"/>
  <c r="P552"/>
  <c r="P549"/>
  <c r="P546"/>
  <c r="P542"/>
  <c r="P541"/>
  <c r="P537"/>
  <c r="P536"/>
  <c r="P533"/>
  <c r="P530"/>
  <c r="P528"/>
  <c r="P527"/>
  <c r="P525"/>
  <c r="P524"/>
  <c r="P522"/>
  <c r="P520"/>
  <c r="P519"/>
  <c r="P517"/>
  <c r="P515"/>
  <c r="P514"/>
  <c r="P512"/>
  <c r="P511"/>
  <c r="P508"/>
  <c r="P506"/>
  <c r="P504"/>
  <c r="P503"/>
  <c r="P501"/>
  <c r="P499"/>
  <c r="P498"/>
  <c r="P496"/>
  <c r="P495"/>
  <c r="P492"/>
  <c r="P490"/>
  <c r="P488"/>
  <c r="P487"/>
  <c r="P485"/>
  <c r="P483"/>
  <c r="P482"/>
  <c r="P480"/>
  <c r="P479"/>
  <c r="P476"/>
  <c r="P474"/>
  <c r="P472"/>
  <c r="P471"/>
  <c r="P469"/>
  <c r="P467"/>
  <c r="P466"/>
  <c r="P464"/>
  <c r="P463"/>
  <c r="P460"/>
  <c r="P458"/>
  <c r="P456"/>
  <c r="P455"/>
  <c r="P453"/>
  <c r="P451"/>
  <c r="P450"/>
  <c r="P448"/>
  <c r="P447"/>
  <c r="P444"/>
  <c r="P442"/>
  <c r="P440"/>
  <c r="P439"/>
  <c r="P437"/>
  <c r="P435"/>
  <c r="P434"/>
  <c r="P432"/>
  <c r="P431"/>
  <c r="P428"/>
  <c r="P426"/>
  <c r="P424"/>
  <c r="P423"/>
  <c r="P421"/>
  <c r="P419"/>
  <c r="P418"/>
  <c r="P416"/>
  <c r="P415"/>
  <c r="P412"/>
  <c r="P410"/>
  <c r="P408"/>
  <c r="P407"/>
  <c r="P405"/>
  <c r="P403"/>
  <c r="P402"/>
  <c r="P400"/>
  <c r="P399"/>
  <c r="P396"/>
  <c r="P394"/>
  <c r="P392"/>
  <c r="P390"/>
  <c r="P388"/>
  <c r="P386"/>
  <c r="P385"/>
  <c r="P383"/>
  <c r="P382"/>
  <c r="P378"/>
  <c r="P377"/>
  <c r="P375"/>
  <c r="P374"/>
  <c r="P369"/>
  <c r="P366"/>
  <c r="P363"/>
  <c r="P360"/>
  <c r="P356"/>
  <c r="P355"/>
  <c r="P353"/>
  <c r="P352"/>
  <c r="P350"/>
  <c r="P349"/>
  <c r="P347"/>
  <c r="P345"/>
  <c r="P343"/>
  <c r="P341"/>
  <c r="P339"/>
  <c r="P337"/>
  <c r="P335"/>
  <c r="P334"/>
  <c r="P332"/>
  <c r="P330"/>
  <c r="P327"/>
  <c r="P326"/>
  <c r="P323"/>
  <c r="P322"/>
  <c r="P320"/>
  <c r="P315"/>
  <c r="P314"/>
  <c r="P311"/>
  <c r="P310"/>
  <c r="P308"/>
  <c r="P303"/>
  <c r="P302"/>
  <c r="P299"/>
  <c r="P298"/>
  <c r="P296"/>
  <c r="P293"/>
  <c r="P288"/>
  <c r="P287"/>
  <c r="P284"/>
  <c r="P283"/>
  <c r="P281"/>
  <c r="P278"/>
  <c r="P273"/>
  <c r="P272"/>
  <c r="P269"/>
  <c r="P268"/>
  <c r="P266"/>
  <c r="P263"/>
  <c r="P258"/>
  <c r="P257"/>
  <c r="P254"/>
  <c r="P253"/>
  <c r="P251"/>
  <c r="P248"/>
  <c r="P243"/>
  <c r="P242"/>
  <c r="P239"/>
  <c r="P238"/>
  <c r="P236"/>
  <c r="P233"/>
  <c r="P228"/>
  <c r="P227"/>
  <c r="P224"/>
  <c r="P223"/>
  <c r="P221"/>
  <c r="P218"/>
  <c r="P213"/>
  <c r="X212"/>
  <c r="W212"/>
  <c r="V212"/>
  <c r="P212"/>
  <c r="P209"/>
  <c r="X208"/>
  <c r="W208"/>
  <c r="V208"/>
  <c r="P208"/>
  <c r="X206"/>
  <c r="W206"/>
  <c r="V206"/>
  <c r="P206"/>
  <c r="X203"/>
  <c r="W203"/>
  <c r="V203"/>
  <c r="P203"/>
  <c r="P198"/>
  <c r="X197"/>
  <c r="W197"/>
  <c r="V197"/>
  <c r="P197"/>
  <c r="P194"/>
  <c r="X193"/>
  <c r="W193"/>
  <c r="V193"/>
  <c r="P193"/>
  <c r="X191"/>
  <c r="W191"/>
  <c r="V191"/>
  <c r="P191"/>
  <c r="X188"/>
  <c r="W188"/>
  <c r="V188"/>
  <c r="P188"/>
  <c r="P184"/>
  <c r="P183"/>
  <c r="P181"/>
  <c r="P180"/>
  <c r="P178"/>
  <c r="P177"/>
  <c r="P175"/>
  <c r="P174"/>
  <c r="P172"/>
  <c r="P171"/>
  <c r="P169"/>
  <c r="P168"/>
  <c r="P166"/>
  <c r="P165"/>
  <c r="P163"/>
  <c r="P162"/>
  <c r="P160"/>
  <c r="P159"/>
  <c r="P157"/>
  <c r="P156"/>
  <c r="P154"/>
  <c r="P152"/>
  <c r="P150"/>
  <c r="P148"/>
  <c r="P146"/>
  <c r="AC145"/>
  <c r="AB145"/>
  <c r="AA145"/>
  <c r="X145"/>
  <c r="W145"/>
  <c r="V145"/>
  <c r="P145"/>
  <c r="P143"/>
  <c r="AC142"/>
  <c r="AB142"/>
  <c r="AA142"/>
  <c r="X142"/>
  <c r="W142"/>
  <c r="V142"/>
  <c r="P142"/>
  <c r="X140"/>
  <c r="W140"/>
  <c r="V140"/>
  <c r="P138"/>
  <c r="AC137"/>
  <c r="AB137"/>
  <c r="AA137"/>
  <c r="X137"/>
  <c r="W137"/>
  <c r="V137"/>
  <c r="P137"/>
  <c r="P135"/>
  <c r="AC134"/>
  <c r="AB134"/>
  <c r="AA134"/>
  <c r="X134"/>
  <c r="W134"/>
  <c r="V134"/>
  <c r="P134"/>
  <c r="X132"/>
  <c r="W132"/>
  <c r="V132"/>
  <c r="P130"/>
  <c r="X129"/>
  <c r="W129"/>
  <c r="V129"/>
  <c r="P129"/>
  <c r="P127"/>
  <c r="X126"/>
  <c r="W126"/>
  <c r="V126"/>
  <c r="P126"/>
  <c r="X124"/>
  <c r="W124"/>
  <c r="V124"/>
  <c r="P124"/>
  <c r="P120"/>
  <c r="X119"/>
  <c r="W119"/>
  <c r="V119"/>
  <c r="P119"/>
  <c r="P115"/>
  <c r="X114"/>
  <c r="W114"/>
  <c r="V114"/>
  <c r="P114"/>
  <c r="X109"/>
  <c r="W109"/>
  <c r="V109"/>
  <c r="P109"/>
  <c r="X105"/>
  <c r="W105"/>
  <c r="V105"/>
  <c r="P105"/>
  <c r="P101"/>
  <c r="X100"/>
  <c r="W100"/>
  <c r="V100"/>
  <c r="P100"/>
  <c r="P96"/>
  <c r="X95"/>
  <c r="W95"/>
  <c r="V95"/>
  <c r="P95"/>
  <c r="X90"/>
  <c r="W90"/>
  <c r="V90"/>
  <c r="P90"/>
  <c r="X86"/>
  <c r="W86"/>
  <c r="V86"/>
  <c r="P86"/>
  <c r="P82"/>
  <c r="AC81"/>
  <c r="AB81"/>
  <c r="AA81"/>
  <c r="X81"/>
  <c r="W81"/>
  <c r="V81"/>
  <c r="P81"/>
  <c r="P77"/>
  <c r="AC76"/>
  <c r="AB76"/>
  <c r="AA76"/>
  <c r="X76"/>
  <c r="W76"/>
  <c r="V76"/>
  <c r="P76"/>
  <c r="X72"/>
  <c r="W72"/>
  <c r="V72"/>
  <c r="P70"/>
  <c r="X69"/>
  <c r="W69"/>
  <c r="V69"/>
  <c r="P69"/>
  <c r="P67"/>
  <c r="X66"/>
  <c r="W66"/>
  <c r="V66"/>
  <c r="P66"/>
  <c r="P64"/>
  <c r="X63"/>
  <c r="W63"/>
  <c r="V63"/>
  <c r="P63"/>
  <c r="P61"/>
  <c r="X60"/>
  <c r="W60"/>
  <c r="V60"/>
  <c r="P60"/>
  <c r="X56"/>
  <c r="W56"/>
  <c r="V56"/>
  <c r="P56"/>
  <c r="X54"/>
  <c r="W54"/>
  <c r="V54"/>
  <c r="P54"/>
  <c r="X52"/>
  <c r="W52"/>
  <c r="V52"/>
  <c r="P52"/>
  <c r="X48"/>
  <c r="W48"/>
  <c r="V48"/>
  <c r="P48"/>
  <c r="X46"/>
  <c r="W46"/>
  <c r="V46"/>
  <c r="P46"/>
  <c r="X44"/>
  <c r="W44"/>
  <c r="V44"/>
  <c r="P44"/>
  <c r="P40"/>
  <c r="X39"/>
  <c r="W39"/>
  <c r="V39"/>
  <c r="P39"/>
  <c r="P35"/>
  <c r="X34"/>
  <c r="W34"/>
  <c r="V34"/>
  <c r="P34"/>
  <c r="X31"/>
  <c r="W31"/>
  <c r="V31"/>
  <c r="P31"/>
  <c r="X27"/>
  <c r="W27"/>
  <c r="V27"/>
  <c r="P27"/>
  <c r="X23"/>
  <c r="W23"/>
  <c r="V23"/>
  <c r="P23"/>
  <c r="AN17"/>
  <c r="AM17"/>
  <c r="AL17"/>
  <c r="AJ17"/>
  <c r="AI17"/>
  <c r="AH17"/>
  <c r="AG17"/>
  <c r="AF17"/>
  <c r="AE17"/>
  <c r="AD17"/>
  <c r="AC17"/>
  <c r="AB17"/>
  <c r="AA17"/>
  <c r="Z17"/>
  <c r="Z21" s="1"/>
  <c r="Y17"/>
  <c r="Y21" s="1"/>
  <c r="P17"/>
  <c r="X13"/>
  <c r="X17" s="1"/>
  <c r="X21" s="1"/>
  <c r="W13"/>
  <c r="W17" s="1"/>
  <c r="W21" s="1"/>
  <c r="V13"/>
  <c r="V17" s="1"/>
  <c r="V21" s="1"/>
  <c r="P13"/>
  <c r="X11"/>
  <c r="W11"/>
  <c r="V11"/>
  <c r="X8"/>
  <c r="W8"/>
  <c r="V8"/>
</calcChain>
</file>

<file path=xl/sharedStrings.xml><?xml version="1.0" encoding="utf-8"?>
<sst xmlns="http://schemas.openxmlformats.org/spreadsheetml/2006/main" count="3630" uniqueCount="782">
  <si>
    <t>Z80 Instruction Set Overview</t>
  </si>
  <si>
    <t>Regs: A, (B,C), (D,E), (H,L), PC, SP, IX, IY, F { C, N, P/V, H, Z, S }, I=Interrupt vectors, R=Memory refresh</t>
  </si>
  <si>
    <t>AM: I=Immediate, IE=Immediate Extended, MPZA=Modified Page Zero, L=Relative Jump, E=Extended, EJ=Extended Jump, EP=Extended Port, X=Indexed, R=Register, M=Implied, RI=Register Indirect, B=Bit</t>
  </si>
  <si>
    <t>M1</t>
  </si>
  <si>
    <t>M2</t>
  </si>
  <si>
    <t>M3</t>
  </si>
  <si>
    <t>M4</t>
  </si>
  <si>
    <t>M5</t>
  </si>
  <si>
    <t>M6</t>
  </si>
  <si>
    <t>OP Code</t>
  </si>
  <si>
    <t>ASM</t>
  </si>
  <si>
    <t>OP1</t>
  </si>
  <si>
    <t>OP2</t>
  </si>
  <si>
    <t>AM1</t>
  </si>
  <si>
    <t>AM2</t>
  </si>
  <si>
    <t>Offset</t>
  </si>
  <si>
    <t>Bit pattern for offset</t>
  </si>
  <si>
    <t>M Cycles</t>
  </si>
  <si>
    <t>T States</t>
  </si>
  <si>
    <t>Flags affect</t>
  </si>
  <si>
    <t>Operation</t>
  </si>
  <si>
    <t>Notes</t>
  </si>
  <si>
    <t>T1</t>
  </si>
  <si>
    <t>T2</t>
  </si>
  <si>
    <t>T3</t>
  </si>
  <si>
    <t>T4</t>
  </si>
  <si>
    <t>T5</t>
  </si>
  <si>
    <t>LD</t>
  </si>
  <si>
    <t>LD r,s</t>
  </si>
  <si>
    <t>{r}</t>
  </si>
  <si>
    <t>{s}</t>
  </si>
  <si>
    <t>R</t>
  </si>
  <si>
    <t>r</t>
  </si>
  <si>
    <t>s</t>
  </si>
  <si>
    <t>r ← s</t>
  </si>
  <si>
    <t>PC.OE, ABUF.L, INC2.P, INC2.L</t>
  </si>
  <si>
    <t>INC2.P, INC2.OE, PC.L.INC2, DBUF.L.IN</t>
  </si>
  <si>
    <t>DBUF.L.IN, INSTR.L</t>
  </si>
  <si>
    <t>{s}.OE, TMP.L</t>
  </si>
  <si>
    <t>TMP.OE.DBUS, {r}.L</t>
  </si>
  <si>
    <t>LD r,n</t>
  </si>
  <si>
    <t>{n}</t>
  </si>
  <si>
    <t>I</t>
  </si>
  <si>
    <t>7 (4,3)</t>
  </si>
  <si>
    <r>
      <rPr>
        <sz val="10"/>
        <color theme="1"/>
        <rFont val="Arial"/>
        <family val="2"/>
      </rPr>
      <t>r ← n</t>
    </r>
  </si>
  <si>
    <t>X</t>
  </si>
  <si>
    <t>-</t>
  </si>
  <si>
    <t>DBUF.L.IN, {r}.L</t>
  </si>
  <si>
    <t>n</t>
  </si>
  <si>
    <t>LD r,(HL)</t>
  </si>
  <si>
    <t>(HL)</t>
  </si>
  <si>
    <t>RI</t>
  </si>
  <si>
    <r>
      <rPr>
        <sz val="10"/>
        <color theme="1"/>
        <rFont val="Arial"/>
        <family val="2"/>
      </rPr>
      <t>r ← (HL)</t>
    </r>
  </si>
  <si>
    <t>(HL) == 110 register!</t>
  </si>
  <si>
    <t>HL.OE, ABUF.L</t>
  </si>
  <si>
    <t>DBUF.L.IN</t>
  </si>
  <si>
    <t>LD r,(IX+d)</t>
  </si>
  <si>
    <t>(IX+{d})</t>
  </si>
  <si>
    <t>19 (4,4,3,5,3)</t>
  </si>
  <si>
    <r>
      <rPr>
        <sz val="10"/>
        <color theme="1"/>
        <rFont val="Arial"/>
        <family val="2"/>
      </rPr>
      <t>r ← (IX+d)</t>
    </r>
  </si>
  <si>
    <t>This bit seems to indicate X/Y</t>
  </si>
  <si>
    <t>DBUF.L.IN, TMP.L</t>
  </si>
  <si>
    <t>TMP.OE.DBUS, DISP.L.X, DISP.L.DBUS</t>
  </si>
  <si>
    <t>DISP.OE, ABUF.L</t>
  </si>
  <si>
    <t>d</t>
  </si>
  <si>
    <t>LD r,(IY+d)</t>
  </si>
  <si>
    <t>(IY+{d})</t>
  </si>
  <si>
    <r>
      <rPr>
        <sz val="10"/>
        <color theme="1"/>
        <rFont val="Arial"/>
        <family val="2"/>
      </rPr>
      <t>r ← (IY+d)</t>
    </r>
  </si>
  <si>
    <t>TMP.OE.DBUS, DISP.L.Y</t>
  </si>
  <si>
    <t>LD (HL),r</t>
  </si>
  <si>
    <r>
      <rPr>
        <sz val="10"/>
        <color theme="1"/>
        <rFont val="Arial"/>
        <family val="2"/>
      </rPr>
      <t>(HL) ← r</t>
    </r>
  </si>
  <si>
    <t>{r}.OE, DBUF.L.OUT</t>
  </si>
  <si>
    <t>{r}.OE</t>
  </si>
  <si>
    <t>LD (IX+d),r</t>
  </si>
  <si>
    <r>
      <rPr>
        <sz val="10"/>
        <color theme="1"/>
        <rFont val="Arial"/>
        <family val="2"/>
      </rPr>
      <t>(IX+d) ← r</t>
    </r>
  </si>
  <si>
    <t>DISP.OE, ABUF.L, {r}.OE</t>
  </si>
  <si>
    <t>The 110 is a reverse reg index?</t>
  </si>
  <si>
    <t>LD (IY+d),r</t>
  </si>
  <si>
    <r>
      <rPr>
        <sz val="10"/>
        <color theme="1"/>
        <rFont val="Arial"/>
        <family val="2"/>
      </rPr>
      <t>(IY+d) ← r</t>
    </r>
  </si>
  <si>
    <t>TMP.OE.DBUS, DISP.L.Y, DISP.L.DBUS</t>
  </si>
  <si>
    <t>LD (HL),n</t>
  </si>
  <si>
    <t>10 (4,3,3)</t>
  </si>
  <si>
    <r>
      <rPr>
        <sz val="10"/>
        <color theme="1"/>
        <rFont val="Arial"/>
        <family val="2"/>
      </rPr>
      <t>(HL) ← n</t>
    </r>
  </si>
  <si>
    <t>TMP.OE.DBUS, HL.OE, ABUF.L</t>
  </si>
  <si>
    <t>TMP.OE.DBUS, DBUF.L.OUT</t>
  </si>
  <si>
    <t>TMP.OE.DBUS</t>
  </si>
  <si>
    <t>LD (IX+d),n</t>
  </si>
  <si>
    <r>
      <rPr>
        <sz val="10"/>
        <color theme="1"/>
        <rFont val="Arial"/>
        <family val="2"/>
      </rPr>
      <t>(IX+d) ← n</t>
    </r>
  </si>
  <si>
    <t>DBUF.L.IN, DISP.L.DBUS, DISP.L.X</t>
  </si>
  <si>
    <t>TMP.OE.DBUS, DISP.OE, ABUF.L</t>
  </si>
  <si>
    <t>LD (IY+d),n</t>
  </si>
  <si>
    <r>
      <rPr>
        <sz val="10"/>
        <color theme="1"/>
        <rFont val="Arial"/>
        <family val="2"/>
      </rPr>
      <t>(IY+d) ← n</t>
    </r>
  </si>
  <si>
    <t>DBUF.L.IN, DISP.L.DBUS, DISP.L.Y</t>
  </si>
  <si>
    <t>LD A,(BC)</t>
  </si>
  <si>
    <t>A</t>
  </si>
  <si>
    <t>(BC)</t>
  </si>
  <si>
    <r>
      <rPr>
        <sz val="10"/>
        <color theme="1"/>
        <rFont val="Arial"/>
        <family val="2"/>
      </rPr>
      <t>A ← (BC)</t>
    </r>
  </si>
  <si>
    <t>(BC) or (DE) ?</t>
  </si>
  <si>
    <t>BC.OE, ABUF.L</t>
  </si>
  <si>
    <t>DBUF.L.IN, A.L</t>
  </si>
  <si>
    <t>LD A,(DE)</t>
  </si>
  <si>
    <t>(DE)</t>
  </si>
  <si>
    <r>
      <rPr>
        <sz val="10"/>
        <color theme="1"/>
        <rFont val="Arial"/>
        <family val="2"/>
      </rPr>
      <t>A ← (DE)</t>
    </r>
  </si>
  <si>
    <t>Register source or dest?</t>
  </si>
  <si>
    <t>DE.OE, ABUF.L</t>
  </si>
  <si>
    <t>LD A,(nn)</t>
  </si>
  <si>
    <t>({nn})</t>
  </si>
  <si>
    <t>E</t>
  </si>
  <si>
    <t>13 (4,3,3,3)</t>
  </si>
  <si>
    <r>
      <rPr>
        <sz val="10"/>
        <color theme="1"/>
        <rFont val="Arial"/>
        <family val="2"/>
      </rPr>
      <t>A ← (nn)</t>
    </r>
  </si>
  <si>
    <t>DBUF.L.IN, ABUS.H.L.DBUS</t>
  </si>
  <si>
    <t>TMP.OE.DBUS, ABUS.L.L.DBUS</t>
  </si>
  <si>
    <t>ABUF.L</t>
  </si>
  <si>
    <t>LD (BC),A</t>
  </si>
  <si>
    <r>
      <rPr>
        <sz val="10"/>
        <color theme="1"/>
        <rFont val="Arial"/>
        <family val="2"/>
      </rPr>
      <t>(BC) ← A</t>
    </r>
  </si>
  <si>
    <t>A.OE.DBUS, DBUF.L.OUT</t>
  </si>
  <si>
    <t>A.OE.DBUS</t>
  </si>
  <si>
    <t>LD (DE),A</t>
  </si>
  <si>
    <t>(DE) ← A</t>
  </si>
  <si>
    <t>LD (nn),A</t>
  </si>
  <si>
    <t>(nn) ← A</t>
  </si>
  <si>
    <t>LD A,I</t>
  </si>
  <si>
    <t>9 (4,5)</t>
  </si>
  <si>
    <t>S,Z,H,P/V,N</t>
  </si>
  <si>
    <r>
      <rPr>
        <sz val="10"/>
        <color theme="1"/>
        <rFont val="Arial"/>
        <family val="2"/>
      </rPr>
      <t>A ← Interrupt vector reg</t>
    </r>
  </si>
  <si>
    <t>I.OE, A.L</t>
  </si>
  <si>
    <t>I or R reg?</t>
  </si>
  <si>
    <t>LD A,R</t>
  </si>
  <si>
    <r>
      <rPr>
        <sz val="10"/>
        <color theme="1"/>
        <rFont val="Arial"/>
        <family val="2"/>
      </rPr>
      <t>A ← Memory refresh reg</t>
    </r>
  </si>
  <si>
    <t>R.OE, A.L</t>
  </si>
  <si>
    <t>LD I,A</t>
  </si>
  <si>
    <r>
      <rPr>
        <sz val="10"/>
        <color theme="1"/>
        <rFont val="Arial"/>
        <family val="2"/>
      </rPr>
      <t>Interrupt vector reg ← A</t>
    </r>
  </si>
  <si>
    <t>A.OE.DBUS, I.L</t>
  </si>
  <si>
    <t>LD R,A</t>
  </si>
  <si>
    <r>
      <rPr>
        <sz val="10"/>
        <color theme="1"/>
        <rFont val="Arial"/>
        <family val="2"/>
      </rPr>
      <t>Memory refresh reg ← A</t>
    </r>
  </si>
  <si>
    <t>A.OE.DBUS, R.L</t>
  </si>
  <si>
    <t>LD RR,nn</t>
  </si>
  <si>
    <t>{RR}</t>
  </si>
  <si>
    <t>{nn}</t>
  </si>
  <si>
    <t>IE</t>
  </si>
  <si>
    <r>
      <rPr>
        <sz val="10"/>
        <color theme="1"/>
        <rFont val="Arial"/>
        <family val="2"/>
      </rPr>
      <t>Register pair ← nn</t>
    </r>
  </si>
  <si>
    <t>DBUF.L.IN, {RR}.L.L</t>
  </si>
  <si>
    <t>DBUF.L.IN, {RR}.H.L</t>
  </si>
  <si>
    <t>LD IX,nn</t>
  </si>
  <si>
    <t>IX</t>
  </si>
  <si>
    <t>14 (4,4,3,3)</t>
  </si>
  <si>
    <r>
      <rPr>
        <sz val="10"/>
        <color theme="1"/>
        <rFont val="Arial"/>
        <family val="2"/>
      </rPr>
      <t>IX ← nn</t>
    </r>
  </si>
  <si>
    <t>DBUF.L.IN, IX.L.L</t>
  </si>
  <si>
    <t>DBUF.L.IN, IX.H.L</t>
  </si>
  <si>
    <t>LD IY,nn</t>
  </si>
  <si>
    <t>IY</t>
  </si>
  <si>
    <t>IY ← nn</t>
  </si>
  <si>
    <t>DBUF.L.IN, IY.L.L</t>
  </si>
  <si>
    <t>DBUF.L.IN, IY.H.L</t>
  </si>
  <si>
    <t>LD HL,(nn)</t>
  </si>
  <si>
    <t>HL</t>
  </si>
  <si>
    <t>16 (4,3,3,3,3)</t>
  </si>
  <si>
    <t>H ← (nn+1), L ← (nn)</t>
  </si>
  <si>
    <t>DBUF.L.IN, L.L</t>
  </si>
  <si>
    <t>INC2.P, INC2.L</t>
  </si>
  <si>
    <t>INC2.P, INC2.OE, ABUF.L</t>
  </si>
  <si>
    <t>DBUF.L.IN, H.L</t>
  </si>
  <si>
    <t>LD RR,(nn)</t>
  </si>
  <si>
    <t>20 (4,4,3,3,3,3)</t>
  </si>
  <si>
    <t>RRh ← (nn+1), RRl ← (nn)</t>
  </si>
  <si>
    <t>LD IX,(nn)</t>
  </si>
  <si>
    <t>IXh ← (nn+1), IXl ← (nn)</t>
  </si>
  <si>
    <t>LD IY,(nn)</t>
  </si>
  <si>
    <t>IYh ← (nn+1), IYl ← (nn)</t>
  </si>
  <si>
    <t>LD (nn), HL</t>
  </si>
  <si>
    <t xml:space="preserve"> HL</t>
  </si>
  <si>
    <t>(nn+1) ← H, (nn) ← L</t>
  </si>
  <si>
    <t>L.OE, DBUF.L.OUT</t>
  </si>
  <si>
    <t>H.OE, DBUF.L.OUT</t>
  </si>
  <si>
    <t>LD (nn), RR</t>
  </si>
  <si>
    <t xml:space="preserve"> {RR}</t>
  </si>
  <si>
    <t>(nn+1) ← RRh, (nn) ←RRl</t>
  </si>
  <si>
    <t>{RR}.L.OE, DBUF.L.OUT</t>
  </si>
  <si>
    <t>{RR}.H.OE, DBUF.L.OUT</t>
  </si>
  <si>
    <t>LD (nn), IX</t>
  </si>
  <si>
    <t xml:space="preserve"> IX</t>
  </si>
  <si>
    <t>(nn+1) ← IXh, (nn) ←IXl</t>
  </si>
  <si>
    <t>IX.L.OE, DBUF.L.OUT</t>
  </si>
  <si>
    <t>IX.H.OE, DBUF.L.OUT</t>
  </si>
  <si>
    <t>LD (nn), IY</t>
  </si>
  <si>
    <t xml:space="preserve"> IY</t>
  </si>
  <si>
    <t>(nn+1) ← IYh, (nn) ←IYl</t>
  </si>
  <si>
    <t>IY.L.OE, DBUF.L.OUT</t>
  </si>
  <si>
    <t>IY.H.OE, DBUF.L.OUT</t>
  </si>
  <si>
    <t>LD SP,HL</t>
  </si>
  <si>
    <t>SP</t>
  </si>
  <si>
    <t>SP ← HL</t>
  </si>
  <si>
    <t>HL.H.OE, SP.H.L</t>
  </si>
  <si>
    <t>HL.L.OE, SP.L.L</t>
  </si>
  <si>
    <t>LD SP,IX</t>
  </si>
  <si>
    <t>10 (4,6)</t>
  </si>
  <si>
    <t>SP ← IX</t>
  </si>
  <si>
    <t>IX.H.OE, SP.H.L</t>
  </si>
  <si>
    <t>IX.L.OE, SP.L.L</t>
  </si>
  <si>
    <t>LD SP,IY</t>
  </si>
  <si>
    <t>SP ← IY</t>
  </si>
  <si>
    <t>IY.H.OE, SP.H.L</t>
  </si>
  <si>
    <t>IY.L.OE, SP.L.L</t>
  </si>
  <si>
    <t>PUSH</t>
  </si>
  <si>
    <t>PUSH QQ</t>
  </si>
  <si>
    <t>{QQ}</t>
  </si>
  <si>
    <t>Q</t>
  </si>
  <si>
    <t>11 (5,3,3)</t>
  </si>
  <si>
    <t>(SP-1) ← QQh, (SP-2) ← QQl, SP ← SP - 2</t>
  </si>
  <si>
    <t>SP.OE, INC2.N, INC2.L</t>
  </si>
  <si>
    <t>INC2.N, INC2.OE, SP.L.INC2</t>
  </si>
  <si>
    <t>SP.OE, ABUF.L,{QQ}.H.OE</t>
  </si>
  <si>
    <t>{QQ}.H.OE, DBUF.L.OUT, INC2.N, INC2.L</t>
  </si>
  <si>
    <t>SP.OE, ABUF.L,{QQ}.L.OE</t>
  </si>
  <si>
    <t>{QQ}.L.OE, DBUF.L.OUT</t>
  </si>
  <si>
    <t>PUSH IX</t>
  </si>
  <si>
    <t>15 (4,5,3,3)</t>
  </si>
  <si>
    <t>(SP-1) ← IXh, (SP-2) ← IXl, SP ← SP - 2</t>
  </si>
  <si>
    <t>SP.OE, ABUF.L,IX.H.OE</t>
  </si>
  <si>
    <t>IX.H.OE, DBUF.L.OUT, INC2.N, INC2.L</t>
  </si>
  <si>
    <t>SP.OE, ABUF.L,IX.L.OE</t>
  </si>
  <si>
    <t>PUSH IY</t>
  </si>
  <si>
    <t>(SP-1) ← IYh, (SP-2) ← IYl, SP ← SP - 2</t>
  </si>
  <si>
    <t>SP.OE, ABUF.L,IY.H.OE</t>
  </si>
  <si>
    <t>IY.H.OE, DBUF.L.OUT, INC2.N, INC2.L</t>
  </si>
  <si>
    <t>SP.OE, ABUF.L,IY.L.OE</t>
  </si>
  <si>
    <t>POP</t>
  </si>
  <si>
    <t>POP QQ</t>
  </si>
  <si>
    <t>QQl ← (SP), QQh ← (SP+1), SP ← SP + 2</t>
  </si>
  <si>
    <t>SP.OE, ABUF.L,DBUF.L.IN, INC2.P, INC2.L</t>
  </si>
  <si>
    <t>DBUF.L.IN, {QQ}.L.L</t>
  </si>
  <si>
    <t>INC2.P, INC2.OE, SP.L.INC2</t>
  </si>
  <si>
    <t>DBUF.L.IN, {QQ}.H.L</t>
  </si>
  <si>
    <t>POP IX</t>
  </si>
  <si>
    <t>IXl ← (SP), IXh ← (SP+2), SP ← SP + 2</t>
  </si>
  <si>
    <t>POP IY</t>
  </si>
  <si>
    <t>IHl ← (SP), IHh ← (SP+2), SP ← SP + 2</t>
  </si>
  <si>
    <t>EX</t>
  </si>
  <si>
    <t>EX DE,HL</t>
  </si>
  <si>
    <t>DE</t>
  </si>
  <si>
    <r>
      <rPr>
        <sz val="10"/>
        <color theme="1"/>
        <rFont val="Arial"/>
        <family val="2"/>
      </rPr>
      <t>DE ↔ HL</t>
    </r>
  </si>
  <si>
    <t>EX AF,AF’</t>
  </si>
  <si>
    <t>AF</t>
  </si>
  <si>
    <t>AF’</t>
  </si>
  <si>
    <t>AF ↔ AF’</t>
  </si>
  <si>
    <t>EXX</t>
  </si>
  <si>
    <t>(BC) ↔ (BC’), (DE) ↔ (DE’), (HL) ↔ (HL’)</t>
  </si>
  <si>
    <t>EX (SP),HL</t>
  </si>
  <si>
    <t>(SP)</t>
  </si>
  <si>
    <t>19 (4,3,4,3,5)</t>
  </si>
  <si>
    <t>L ↔ (SP), H ↔ (SP+1)</t>
  </si>
  <si>
    <t>EX (SP),IX</t>
  </si>
  <si>
    <t>23 (4,4,3,4,3,5)</t>
  </si>
  <si>
    <t>IXl ↔ (SP), IXh ↔ (SP+1)</t>
  </si>
  <si>
    <t>EX (SP),IY</t>
  </si>
  <si>
    <t>IYl ↔ (SP), IYh ↔ (SP+1)</t>
  </si>
  <si>
    <t>LDI</t>
  </si>
  <si>
    <t>16 (4,4,3,5)</t>
  </si>
  <si>
    <t>H,P/V,N</t>
  </si>
  <si>
    <t>(DE) ← (HL), DE ← DE + 1, HL ← HL + 1, BC ← BC -1</t>
  </si>
  <si>
    <t>LDIR</t>
  </si>
  <si>
    <t>21 (4,4,3,5,5)</t>
  </si>
  <si>
    <t>(DE) ← (HL), DE ← DE + 1, HL ← HL + 1, BC F↔ BC -1</t>
  </si>
  <si>
    <t>LDD</t>
  </si>
  <si>
    <t>(DE) ← (HL), DE ← DE -1, HL ← HL-1, BC ← BC-1</t>
  </si>
  <si>
    <t>LDDR</t>
  </si>
  <si>
    <t>(DE) ← (HL), DE ← D ← 1, HL ← HL-1, BC ← BC-1</t>
  </si>
  <si>
    <t>CPI</t>
  </si>
  <si>
    <t>A =?= (HL), HL ← HL +1, BC ← BC -1</t>
  </si>
  <si>
    <t>CPIR</t>
  </si>
  <si>
    <t>A =?= (HL), HL ← HL+1, BC ← BC-1</t>
  </si>
  <si>
    <t>CPD</t>
  </si>
  <si>
    <t>A =?= (HL), HL ← HL -1, BC ← BC -1</t>
  </si>
  <si>
    <t>CPDR</t>
  </si>
  <si>
    <t>A =?= (HL), HL ← HL -1, BC ← BC-1</t>
  </si>
  <si>
    <t>ADD</t>
  </si>
  <si>
    <t>ADD A,r</t>
  </si>
  <si>
    <t>S,Z,H,P/V,N,C</t>
  </si>
  <si>
    <t>A ← A + r</t>
  </si>
  <si>
    <t>{r}.OE, TMP.L, A.OE.ACT, ACT.L.A</t>
  </si>
  <si>
    <t>TMP.OE.ALU, ACT.OE, ALU.OP.ADD, ALU.OE, A.L</t>
  </si>
  <si>
    <t>ADD A,n</t>
  </si>
  <si>
    <t>A ← A + n</t>
  </si>
  <si>
    <t>Set for immediate??</t>
  </si>
  <si>
    <t>DBUF.L.IN, TMP.L, A.OE.ACT, ACT.L.A</t>
  </si>
  <si>
    <t>No, only for ADD block like op codes</t>
  </si>
  <si>
    <t>ADD A,(HL)</t>
  </si>
  <si>
    <t>A ← A + (HL)</t>
  </si>
  <si>
    <t>ADD A,(IX+d)</t>
  </si>
  <si>
    <t>A ← A + (IX+d)</t>
  </si>
  <si>
    <t>ADD A,(IY+d)</t>
  </si>
  <si>
    <t>A ← A + (IY+d)</t>
  </si>
  <si>
    <t>ADC</t>
  </si>
  <si>
    <t>ADC A,r</t>
  </si>
  <si>
    <t>A ← A + r + CY</t>
  </si>
  <si>
    <t>Change to block ADD</t>
  </si>
  <si>
    <t>TMP.OE.ALU, ACT.OE, ALU.OP.ADC, ALU.OE, A.L</t>
  </si>
  <si>
    <t>ADC A,n</t>
  </si>
  <si>
    <t>A ← A + n + CY</t>
  </si>
  <si>
    <t>ADC A,(HL)</t>
  </si>
  <si>
    <t>A ← A + (HL) + CY</t>
  </si>
  <si>
    <t>ADC A,(IX+d)</t>
  </si>
  <si>
    <t>A ← A + (IX+d) + CY</t>
  </si>
  <si>
    <t>ADC A,(IY+d)</t>
  </si>
  <si>
    <t>A ← A + (IY+d) + CY</t>
  </si>
  <si>
    <t>SUB</t>
  </si>
  <si>
    <t>SUB r</t>
  </si>
  <si>
    <t>A ← A - r</t>
  </si>
  <si>
    <t>{r}.OE, TMP.L, A.OE, ACT.L.A</t>
  </si>
  <si>
    <t>TMP.OE.ALU, ACT.OE, ALU.OP.SUB, ALU.OE, A.L</t>
  </si>
  <si>
    <t>SUB n</t>
  </si>
  <si>
    <t>A ← A - n</t>
  </si>
  <si>
    <t>SUB (HL)</t>
  </si>
  <si>
    <t>A ← A - (HL)</t>
  </si>
  <si>
    <t>SUB (IX+d)</t>
  </si>
  <si>
    <t>A ← A - (IX+d)</t>
  </si>
  <si>
    <t>SUB (IY+d)</t>
  </si>
  <si>
    <t>SBC</t>
  </si>
  <si>
    <t>SBC A,r</t>
  </si>
  <si>
    <t>SBC A,n</t>
  </si>
  <si>
    <t>SBC A,(HL)</t>
  </si>
  <si>
    <t>SBC A,(IX+d)</t>
  </si>
  <si>
    <t>SBC A,(IY+d)</t>
  </si>
  <si>
    <t>AND</t>
  </si>
  <si>
    <t>AND r</t>
  </si>
  <si>
    <t>A ← A &amp; r</t>
  </si>
  <si>
    <t>AND n</t>
  </si>
  <si>
    <t>A ← A &amp; n</t>
  </si>
  <si>
    <t>AND (HL)</t>
  </si>
  <si>
    <t>A ← A &amp; (HL)</t>
  </si>
  <si>
    <t>AND (IX+d)</t>
  </si>
  <si>
    <t>A ← A &amp; (IX+d)</t>
  </si>
  <si>
    <t>AND (IY+d)</t>
  </si>
  <si>
    <t>A ← A &amp; (IY+d)</t>
  </si>
  <si>
    <t>OR</t>
  </si>
  <si>
    <t>OR r</t>
  </si>
  <si>
    <t>A ← A | r</t>
  </si>
  <si>
    <t>Change to block OR</t>
  </si>
  <si>
    <t>OR n</t>
  </si>
  <si>
    <t>A ← A | n</t>
  </si>
  <si>
    <t>OR (HL)</t>
  </si>
  <si>
    <t>A ← A | (HL)</t>
  </si>
  <si>
    <t>OR (IX+d)</t>
  </si>
  <si>
    <t>A ← A | (IX+d)</t>
  </si>
  <si>
    <t>OR (IY+d)</t>
  </si>
  <si>
    <t>A ← A | (IY+d)</t>
  </si>
  <si>
    <t>XOR</t>
  </si>
  <si>
    <t>XOR r</t>
  </si>
  <si>
    <t>XOR n</t>
  </si>
  <si>
    <t>Wrong opcodes in z80cpu_um.pdf!</t>
  </si>
  <si>
    <t>XOR (HL)</t>
  </si>
  <si>
    <t>XOR (IX+d)</t>
  </si>
  <si>
    <t>XOR (IY+d)</t>
  </si>
  <si>
    <t>CP</t>
  </si>
  <si>
    <t>CP r</t>
  </si>
  <si>
    <t>Z ←  A = r</t>
  </si>
  <si>
    <t>CP n</t>
  </si>
  <si>
    <t>Z ←  A = n</t>
  </si>
  <si>
    <t>CP (HL)</t>
  </si>
  <si>
    <t>Z ←  A = (HL)</t>
  </si>
  <si>
    <t>CP (IX+d)</t>
  </si>
  <si>
    <t>Z ←  A = (IX+d)</t>
  </si>
  <si>
    <t>CP (IY+d)</t>
  </si>
  <si>
    <t>Z ←  A = (IY+d)</t>
  </si>
  <si>
    <t>INC</t>
  </si>
  <si>
    <t>INC r</t>
  </si>
  <si>
    <t>r ← r + 1</t>
  </si>
  <si>
    <t>INC (HL)</t>
  </si>
  <si>
    <t>11 (4,4,3)</t>
  </si>
  <si>
    <t>(HL) ← (HL) + 1</t>
  </si>
  <si>
    <t>INC (IX+d)</t>
  </si>
  <si>
    <t>(IX+d) ← (IX+d) + 1</t>
  </si>
  <si>
    <t>INC (IY+d)</t>
  </si>
  <si>
    <t>(IY+d) ← (IY+d) + 1</t>
  </si>
  <si>
    <t>DEC</t>
  </si>
  <si>
    <t>DEC r</t>
  </si>
  <si>
    <t>r ← r - 1</t>
  </si>
  <si>
    <t>Change to block INC</t>
  </si>
  <si>
    <t>DEC (HL)</t>
  </si>
  <si>
    <t>(HL) ← (HL) - 1</t>
  </si>
  <si>
    <t>DEC (IX+d)</t>
  </si>
  <si>
    <t>(IX+d) ← (IX+d) - 1</t>
  </si>
  <si>
    <t>DEC (IY+d)</t>
  </si>
  <si>
    <t>(IY+d) ← (IY+d) - 1</t>
  </si>
  <si>
    <t>DAA</t>
  </si>
  <si>
    <t>S,Z,H,P/V,C</t>
  </si>
  <si>
    <t>A ← BCD adjust (A,F)</t>
  </si>
  <si>
    <t>CPL</t>
  </si>
  <si>
    <t>H,N</t>
  </si>
  <si>
    <t>A ← /A</t>
  </si>
  <si>
    <t>NEG</t>
  </si>
  <si>
    <t>8 (4,4)</t>
  </si>
  <si>
    <t>A ← 0 - A</t>
  </si>
  <si>
    <t>CCF</t>
  </si>
  <si>
    <t>H,N,C</t>
  </si>
  <si>
    <t>CY ← /CY</t>
  </si>
  <si>
    <t>SCF</t>
  </si>
  <si>
    <t>CY ← 1</t>
  </si>
  <si>
    <t>NOP</t>
  </si>
  <si>
    <t>--</t>
  </si>
  <si>
    <t>HALT</t>
  </si>
  <si>
    <t>---</t>
  </si>
  <si>
    <t>DI</t>
  </si>
  <si>
    <t>IFF ← 0</t>
  </si>
  <si>
    <t>EI</t>
  </si>
  <si>
    <t>IFF ← 1</t>
  </si>
  <si>
    <t>IM</t>
  </si>
  <si>
    <t>IM 0</t>
  </si>
  <si>
    <t>0</t>
  </si>
  <si>
    <t>IM ← 0</t>
  </si>
  <si>
    <t>IM 1</t>
  </si>
  <si>
    <t>1</t>
  </si>
  <si>
    <t>IM ← 1</t>
  </si>
  <si>
    <t>IM 2</t>
  </si>
  <si>
    <t>2</t>
  </si>
  <si>
    <t>IM ← 2</t>
  </si>
  <si>
    <t>ADD HL,RR</t>
  </si>
  <si>
    <t>HL ← HL + RR</t>
  </si>
  <si>
    <t>ADC HL,RR</t>
  </si>
  <si>
    <t>HL ← HL + RR + CY</t>
  </si>
  <si>
    <t>SBC HL,RR</t>
  </si>
  <si>
    <t>HL ← HL - RR - CY</t>
  </si>
  <si>
    <t>ADD IX,PP</t>
  </si>
  <si>
    <t>{PP}</t>
  </si>
  <si>
    <t>15 (4,4,4,3)</t>
  </si>
  <si>
    <t>IX ← IX + PP</t>
  </si>
  <si>
    <t>P</t>
  </si>
  <si>
    <t>ADD IY,OO</t>
  </si>
  <si>
    <t>{OO}</t>
  </si>
  <si>
    <t>IY ← IY + OO</t>
  </si>
  <si>
    <t>O</t>
  </si>
  <si>
    <t>INC RR</t>
  </si>
  <si>
    <t>RR ← RR + 1</t>
  </si>
  <si>
    <t>INC IX</t>
  </si>
  <si>
    <t>IX ← IX + 1</t>
  </si>
  <si>
    <t>INC IY</t>
  </si>
  <si>
    <t>IY ← IY + 1</t>
  </si>
  <si>
    <t>DEC RR</t>
  </si>
  <si>
    <t>RR ← RR - 1</t>
  </si>
  <si>
    <t>DEC IX</t>
  </si>
  <si>
    <t>IX ← IX - 1</t>
  </si>
  <si>
    <t>DEC IY</t>
  </si>
  <si>
    <t>IY ← IY - 1</t>
  </si>
  <si>
    <t>RLCA</t>
  </si>
  <si>
    <t>CY ← A[7], A ← ROL(A,1)</t>
  </si>
  <si>
    <t>RLA</t>
  </si>
  <si>
    <t>[CY,A] ← ROL([CY,A], 1)</t>
  </si>
  <si>
    <t>RRCA</t>
  </si>
  <si>
    <t>CY ← A[0], A ← ROR(A,1)</t>
  </si>
  <si>
    <t>Change to RLCA</t>
  </si>
  <si>
    <t>RRA</t>
  </si>
  <si>
    <t>[A,CY] ← ROR([A,CY], 1)</t>
  </si>
  <si>
    <t>RLC</t>
  </si>
  <si>
    <t>RLC r</t>
  </si>
  <si>
    <t>CY ← r[7], r ← ROL(r,1)</t>
  </si>
  <si>
    <t>RLC (HL)</t>
  </si>
  <si>
    <t>CY ← (HL)[7], (HL) ← ROL( (HL) ,1)</t>
  </si>
  <si>
    <t>RLC (IX+d)</t>
  </si>
  <si>
    <t>23 (4,4,3,5,4,3)</t>
  </si>
  <si>
    <t>CY ← (IX+d)[7], (IX+d) ← ROL( (IX+d) ,1)</t>
  </si>
  <si>
    <t>RLC (IY+d)</t>
  </si>
  <si>
    <t>CY ← (IY+d)[7], (IY+d) ← ROL( (IY+d) ,1)</t>
  </si>
  <si>
    <t>RL</t>
  </si>
  <si>
    <t>RL r</t>
  </si>
  <si>
    <t>CY ← r[0], r ← ROR(r,1)</t>
  </si>
  <si>
    <t>RL (HL)</t>
  </si>
  <si>
    <t>CY ← (HL)[0], (HL) ← ROR( (HL) ,1)</t>
  </si>
  <si>
    <t>RL (IX+d)</t>
  </si>
  <si>
    <t>CY ← (IX+d)[0], (IX+d) ← ROR( (IX+d) ,1)</t>
  </si>
  <si>
    <t>RL (IY+d)</t>
  </si>
  <si>
    <t>CY ← (IY+d)[0], (IY+d) ← ROR( (IY+d) ,1)</t>
  </si>
  <si>
    <t>RRC</t>
  </si>
  <si>
    <t>RRC r</t>
  </si>
  <si>
    <t>[CY,r] ← ROL([CY,r], 1)</t>
  </si>
  <si>
    <t>Change to block RL</t>
  </si>
  <si>
    <t>RRC (HL)</t>
  </si>
  <si>
    <t>[CY,(HL)] ← ROL([CY,(HL)], 1)</t>
  </si>
  <si>
    <t>RRC (IX+d)</t>
  </si>
  <si>
    <t>[CY,(IX+d)] ← ROL([CY,(IX+d)], 1)</t>
  </si>
  <si>
    <t>RRC (IY+d)</t>
  </si>
  <si>
    <t>[CY,(IY+d)] ← ROL([CY,(IY+d)], 1)</t>
  </si>
  <si>
    <t>RR</t>
  </si>
  <si>
    <t>RR r</t>
  </si>
  <si>
    <t>RR (HL)</t>
  </si>
  <si>
    <t>RR (IX+d)</t>
  </si>
  <si>
    <t>RR (IY+d)</t>
  </si>
  <si>
    <t>SLA</t>
  </si>
  <si>
    <t>SLA r</t>
  </si>
  <si>
    <t>[CY,r] ← SHL([r,0], 1)</t>
  </si>
  <si>
    <t>SLA (HL)</t>
  </si>
  <si>
    <t>[CY, (HL) ] ← SHL([ (HL) ,0], 1)</t>
  </si>
  <si>
    <t>SLA (IX+d)</t>
  </si>
  <si>
    <t>[CY, (IX+d) ] ← SHL([ (IX+d) ,0], 1)</t>
  </si>
  <si>
    <t>SLA (IY+d)</t>
  </si>
  <si>
    <t>[CY, (IY+d) ] ← SHL([ (IY+d) ,0], 1)</t>
  </si>
  <si>
    <t>SLL</t>
  </si>
  <si>
    <t>SLL r</t>
  </si>
  <si>
    <t>SLL (HL)</t>
  </si>
  <si>
    <t>UNDOC</t>
  </si>
  <si>
    <t>SLL (IX+d)</t>
  </si>
  <si>
    <t>SLL (IY+d)</t>
  </si>
  <si>
    <t>SRA</t>
  </si>
  <si>
    <t>SRA r</t>
  </si>
  <si>
    <t>[r,CY] ← SHR([r[7],r], 1)</t>
  </si>
  <si>
    <t>SRA (HL)</t>
  </si>
  <si>
    <t>[ (HL) ,CY] ← SHR([ (HL)[7], (HL) ], 1)</t>
  </si>
  <si>
    <t>SRA (IX+d)</t>
  </si>
  <si>
    <t>[ (IX+d) ,CY] ← SHR([ (IX+d)[7], (IX+d) ], 1)</t>
  </si>
  <si>
    <t>SRA (IY+d)</t>
  </si>
  <si>
    <t>[ (IY+d) ,CY] ← SHR([ (IY+d)[7], (IY+d) ], 1)</t>
  </si>
  <si>
    <t>SRL</t>
  </si>
  <si>
    <t>SRL r</t>
  </si>
  <si>
    <t>[r,CY] ← SHR([0,r], 1)</t>
  </si>
  <si>
    <t>SRL (HL)</t>
  </si>
  <si>
    <t>[ (HL) ,CY] ← SHR([0, (HL) ], 1)</t>
  </si>
  <si>
    <t>SRL (IX+d)</t>
  </si>
  <si>
    <t>[ (IX+d) ,CY] ← SHR([0, (IX+d) ], 1)</t>
  </si>
  <si>
    <t>SRL (IY+d)</t>
  </si>
  <si>
    <t>[ (IY+d) ,CY] ← SHR([0, (IY+d) ], 1)</t>
  </si>
  <si>
    <t>RLD</t>
  </si>
  <si>
    <t>18 (4,4,3,4,3)</t>
  </si>
  <si>
    <t>[ A, (HL) ] ← [ A[7..4], (HL)[7..4], (HL)[3..0], A[3..0] ]</t>
  </si>
  <si>
    <t>RRD</t>
  </si>
  <si>
    <t>[ A, (HL) ] ← [ A[7..4], (HL)[3..0], A[3..0], (HL)[7.4] ]</t>
  </si>
  <si>
    <t>BIT</t>
  </si>
  <si>
    <t>BIT b,r</t>
  </si>
  <si>
    <t>{b}</t>
  </si>
  <si>
    <t>B</t>
  </si>
  <si>
    <t>Z,H,N</t>
  </si>
  <si>
    <t>Z ← r[b]</t>
  </si>
  <si>
    <t>b</t>
  </si>
  <si>
    <t>BIT b,(HL)</t>
  </si>
  <si>
    <t>12 (4,4,4)</t>
  </si>
  <si>
    <t>Z ← (HL)[b]</t>
  </si>
  <si>
    <t>BIT b,(IX+d)</t>
  </si>
  <si>
    <t>20 (4,4,3,5,4)</t>
  </si>
  <si>
    <t>Z ← (IX+d)[b]</t>
  </si>
  <si>
    <t>BIT b,(IY+d)</t>
  </si>
  <si>
    <t>Z ← (IY+d)[b]</t>
  </si>
  <si>
    <t>SET</t>
  </si>
  <si>
    <t>SET b,r</t>
  </si>
  <si>
    <t>r[b] ← 1</t>
  </si>
  <si>
    <t>Change to block BIT</t>
  </si>
  <si>
    <t>SET b,(HL)</t>
  </si>
  <si>
    <t>(HL)[b] ← 1</t>
  </si>
  <si>
    <t>SET b,(IX+d)</t>
  </si>
  <si>
    <t>(IX+d)[b] ← 1</t>
  </si>
  <si>
    <t>This SET seems to indicate X/Y</t>
  </si>
  <si>
    <t>SET b,(IY+d)</t>
  </si>
  <si>
    <t>(IY+d)[b] ← 1</t>
  </si>
  <si>
    <t>RES</t>
  </si>
  <si>
    <t>RES b,r</t>
  </si>
  <si>
    <t>r[b] ← 0</t>
  </si>
  <si>
    <t>RES b,(HL)</t>
  </si>
  <si>
    <t>(HL)[b] ← 0</t>
  </si>
  <si>
    <t>RES b,(IX+d)</t>
  </si>
  <si>
    <t>(IX+d)[b] ← 0</t>
  </si>
  <si>
    <t>This RES seems to indicate X/Y</t>
  </si>
  <si>
    <t>RES b,(IY+d)</t>
  </si>
  <si>
    <t>(IY+d)[b] ← 0</t>
  </si>
  <si>
    <t>JP</t>
  </si>
  <si>
    <t>JP nn</t>
  </si>
  <si>
    <t>EJ</t>
  </si>
  <si>
    <t>PC ← nn</t>
  </si>
  <si>
    <t>low order</t>
  </si>
  <si>
    <t>high order</t>
  </si>
  <si>
    <t>JP cc,nn</t>
  </si>
  <si>
    <t>{cc}</t>
  </si>
  <si>
    <t>c</t>
  </si>
  <si>
    <t>IF cc true, PC ← nn</t>
  </si>
  <si>
    <t>JR</t>
  </si>
  <si>
    <t>JR ee</t>
  </si>
  <si>
    <t>{ee}</t>
  </si>
  <si>
    <t>L</t>
  </si>
  <si>
    <t>12 (4,3,5)</t>
  </si>
  <si>
    <t>PC ← PC + ee</t>
  </si>
  <si>
    <t>e</t>
  </si>
  <si>
    <t>ee = ee-2 !!</t>
  </si>
  <si>
    <t>JR C,ee</t>
  </si>
  <si>
    <t>C</t>
  </si>
  <si>
    <t>IF C, PC ← PC + ee</t>
  </si>
  <si>
    <t>Change to block JR</t>
  </si>
  <si>
    <t>JR NC,ee</t>
  </si>
  <si>
    <t>NC</t>
  </si>
  <si>
    <t>IF NC, PC ← PC + ee</t>
  </si>
  <si>
    <t>JR Z,ee</t>
  </si>
  <si>
    <t>Z</t>
  </si>
  <si>
    <t>IF Z, PC ← PC + ee</t>
  </si>
  <si>
    <t>JR NZ,ee</t>
  </si>
  <si>
    <t>NZ</t>
  </si>
  <si>
    <t>IF NZ, PC ← PC + ee</t>
  </si>
  <si>
    <t>JP (HL)</t>
  </si>
  <si>
    <t>PC ← (HL)</t>
  </si>
  <si>
    <t>JP (IX)</t>
  </si>
  <si>
    <t>(IX)</t>
  </si>
  <si>
    <t>PC ← (IX)</t>
  </si>
  <si>
    <t>JP (IY)</t>
  </si>
  <si>
    <t>(IY)</t>
  </si>
  <si>
    <t>PC ← (IY)</t>
  </si>
  <si>
    <t>DJNZ</t>
  </si>
  <si>
    <t>DJNZ ee</t>
  </si>
  <si>
    <t>13 (5,3,5)</t>
  </si>
  <si>
    <t>B ← B - 1, IF B != 0, PC ← PC + ee</t>
  </si>
  <si>
    <t>CALL</t>
  </si>
  <si>
    <t>CALL nn</t>
  </si>
  <si>
    <t>17 (4,3,4,3,3)</t>
  </si>
  <si>
    <t>(SP-2) ← (PC+3)l, (SP-1) ← (PC+3)h, SP ← SP - 2, PC ← nn</t>
  </si>
  <si>
    <t>CALL cc,nn</t>
  </si>
  <si>
    <t>IF cc true, (SP-2) ← (PC+3)l, (SP-1) ← (PC+3)h, SP ← SP - 2, PC ← nn</t>
  </si>
  <si>
    <t>RET</t>
  </si>
  <si>
    <t>PCl ← (SP), PCh ← (SP), SP ← SP + 2</t>
  </si>
  <si>
    <t>Change to block RET</t>
  </si>
  <si>
    <t>RET cc</t>
  </si>
  <si>
    <t>IF cc true, PCl ← (SP), PCh ← (SP), SP ← SP + 2</t>
  </si>
  <si>
    <t>RETI</t>
  </si>
  <si>
    <t>Return from Interrupt</t>
  </si>
  <si>
    <t>RETN</t>
  </si>
  <si>
    <t>Return from non-maskable Interrupt</t>
  </si>
  <si>
    <t>Change to block RETI</t>
  </si>
  <si>
    <t>RST</t>
  </si>
  <si>
    <t>RST tt</t>
  </si>
  <si>
    <t>{tt}</t>
  </si>
  <si>
    <t>MPZA</t>
  </si>
  <si>
    <t>t</t>
  </si>
  <si>
    <t>IN</t>
  </si>
  <si>
    <t>IN A,(n)</t>
  </si>
  <si>
    <t>({n})</t>
  </si>
  <si>
    <t>EP</t>
  </si>
  <si>
    <t>11 (4,3,4)</t>
  </si>
  <si>
    <t>A ← (n)</t>
  </si>
  <si>
    <t xml:space="preserve">IN r,(C)   </t>
  </si>
  <si>
    <t xml:space="preserve">(C)   </t>
  </si>
  <si>
    <t xml:space="preserve">r ← (C)  </t>
  </si>
  <si>
    <t>r == 110 is Flag, TODO</t>
  </si>
  <si>
    <t>INI</t>
  </si>
  <si>
    <t>16 (4,5,3,4)</t>
  </si>
  <si>
    <t>Z,N</t>
  </si>
  <si>
    <t>(HL) ← (C), B ← B - 1, HL ← HL + 1</t>
  </si>
  <si>
    <t>INIR</t>
  </si>
  <si>
    <t>21 (4,5,3,4,5)</t>
  </si>
  <si>
    <t>(HL) ← (C), B ← B - 1, HL ← HL + 1, IF B != 0, repeat</t>
  </si>
  <si>
    <t>IND</t>
  </si>
  <si>
    <t>(HL) ← (C), B ← B - 1, HL ← HL - 1</t>
  </si>
  <si>
    <t>INDR</t>
  </si>
  <si>
    <t>(HL) ← (C), B ← B - 1, HL ← HL - 1, IF B != 0, repeat</t>
  </si>
  <si>
    <t>OUT</t>
  </si>
  <si>
    <t>OUT (n),A</t>
  </si>
  <si>
    <t>(n) ← A</t>
  </si>
  <si>
    <t xml:space="preserve">OUT (C), r   </t>
  </si>
  <si>
    <t>(C)</t>
  </si>
  <si>
    <t xml:space="preserve">{r}   </t>
  </si>
  <si>
    <t xml:space="preserve">(C) ← r  </t>
  </si>
  <si>
    <t>OUTI</t>
  </si>
  <si>
    <t>(C) ← (HL), B ← B - 1, HL ← HL + 1</t>
  </si>
  <si>
    <t>OTIR</t>
  </si>
  <si>
    <t>(C) ← (HL), B ← B - 1, HL ← HL + 1, IF B != 0, repeat</t>
  </si>
  <si>
    <t>OUTD</t>
  </si>
  <si>
    <t>(C) ← (HL), B ← B - 1, HL ← HL - 1</t>
  </si>
  <si>
    <t>OTDR</t>
  </si>
  <si>
    <t>(C) ← (HL), B ← B - 1, HL ← HL - 1, IF B != 0, repeat</t>
  </si>
  <si>
    <t>Registers for LD</t>
  </si>
  <si>
    <t>111</t>
  </si>
  <si>
    <t>000</t>
  </si>
  <si>
    <t>001</t>
  </si>
  <si>
    <t>D</t>
  </si>
  <si>
    <t>010</t>
  </si>
  <si>
    <t>011</t>
  </si>
  <si>
    <t>H</t>
  </si>
  <si>
    <t>100</t>
  </si>
  <si>
    <t>101</t>
  </si>
  <si>
    <t>16bit Registers for LD</t>
  </si>
  <si>
    <t>BC</t>
  </si>
  <si>
    <t>00</t>
  </si>
  <si>
    <t>01</t>
  </si>
  <si>
    <t>10</t>
  </si>
  <si>
    <t>11</t>
  </si>
  <si>
    <t>16bit Registers for PUSH</t>
  </si>
  <si>
    <t>QQ</t>
  </si>
  <si>
    <t>16bit Registers for ADD IX</t>
  </si>
  <si>
    <t>PP</t>
  </si>
  <si>
    <t>16bit Registers for ADD IY</t>
  </si>
  <si>
    <t>OO</t>
  </si>
  <si>
    <t>Bits for BIT, SET</t>
  </si>
  <si>
    <t>3</t>
  </si>
  <si>
    <t>4</t>
  </si>
  <si>
    <t>5</t>
  </si>
  <si>
    <t>6</t>
  </si>
  <si>
    <t>110</t>
  </si>
  <si>
    <t>7</t>
  </si>
  <si>
    <t>Condition Bits for JUMPS..</t>
  </si>
  <si>
    <t>cc</t>
  </si>
  <si>
    <t>Non-Zero</t>
  </si>
  <si>
    <t>Zero</t>
  </si>
  <si>
    <t>No Carry</t>
  </si>
  <si>
    <t>Carry</t>
  </si>
  <si>
    <t>PO</t>
  </si>
  <si>
    <t>P/V</t>
  </si>
  <si>
    <t>Parity Odd</t>
  </si>
  <si>
    <t>PE</t>
  </si>
  <si>
    <t>Parity Even</t>
  </si>
  <si>
    <t>S</t>
  </si>
  <si>
    <t>Sign Positive</t>
  </si>
  <si>
    <t>M</t>
  </si>
  <si>
    <t>Sign Negative</t>
  </si>
  <si>
    <t>Call targets for RST</t>
  </si>
  <si>
    <t>tt</t>
  </si>
  <si>
    <t>00h</t>
  </si>
  <si>
    <t>08h</t>
  </si>
  <si>
    <t>10h</t>
  </si>
  <si>
    <t>18h</t>
  </si>
  <si>
    <t>20h</t>
  </si>
  <si>
    <t>28h</t>
  </si>
  <si>
    <t>30h</t>
  </si>
  <si>
    <t>38h</t>
  </si>
  <si>
    <t>Examples</t>
  </si>
  <si>
    <t>Latch Inwards</t>
  </si>
  <si>
    <t>DBUF.L.OUT</t>
  </si>
  <si>
    <t>Latch outwards</t>
  </si>
  <si>
    <t>IREG.L</t>
  </si>
  <si>
    <t>Latch</t>
  </si>
  <si>
    <t>INC1.P</t>
  </si>
  <si>
    <t>Positve</t>
  </si>
  <si>
    <t>INC1.N</t>
  </si>
  <si>
    <t>Negative</t>
  </si>
  <si>
    <t>INC2.L</t>
  </si>
  <si>
    <t>INC2.OE</t>
  </si>
  <si>
    <t>PC.L.INC2</t>
  </si>
  <si>
    <t>Latch from INC2</t>
  </si>
  <si>
    <t>PC.L.DBUS</t>
  </si>
  <si>
    <t>Match from DBUS</t>
  </si>
  <si>
    <t>PC.OE</t>
  </si>
  <si>
    <t>TMP.L</t>
  </si>
  <si>
    <t>Output Enable to D bus</t>
  </si>
  <si>
    <t>TMP.OE.ALU</t>
  </si>
  <si>
    <t>Output Enable to ALU</t>
  </si>
  <si>
    <t>ALU1.L</t>
  </si>
  <si>
    <r>
      <t>Latch 1</t>
    </r>
    <r>
      <rPr>
        <vertAlign val="superscript"/>
        <sz val="11"/>
        <color theme="1"/>
        <rFont val="Arial"/>
        <family val="2"/>
      </rPr>
      <t>st</t>
    </r>
    <r>
      <rPr>
        <sz val="11"/>
        <color theme="1"/>
        <rFont val="Arial"/>
        <family val="2"/>
      </rPr>
      <t xml:space="preserve"> ALU op from DBUS</t>
    </r>
  </si>
  <si>
    <t>ALU.OE</t>
  </si>
  <si>
    <t>B.L</t>
  </si>
  <si>
    <t>Latch B from DBUS</t>
  </si>
  <si>
    <t>C.OE</t>
  </si>
  <si>
    <t>Outpus C to DBUS</t>
  </si>
  <si>
    <t>IX.L.L</t>
  </si>
  <si>
    <t>Latch lower byte of IX from DBUS</t>
  </si>
  <si>
    <t>DISP.L.X</t>
  </si>
  <si>
    <t>Latch from X</t>
  </si>
  <si>
    <t>DISP.L.Y</t>
  </si>
  <si>
    <t>Latch from Y</t>
  </si>
  <si>
    <t>DiSP.L.DBUS</t>
  </si>
  <si>
    <t>Latch from D bus</t>
  </si>
  <si>
    <t>DISP.OE</t>
  </si>
  <si>
    <t>Output Enable to A bus</t>
  </si>
  <si>
    <t>ALU.OP.ADD</t>
  </si>
  <si>
    <t>ALU.OP.ADC</t>
  </si>
  <si>
    <t>ALU.OP.AND</t>
  </si>
  <si>
    <t>..</t>
  </si>
  <si>
    <t>Latch (always output)</t>
  </si>
  <si>
    <t>ABUS.H.L.DBUS</t>
  </si>
  <si>
    <t>Latch DBUS as high byte</t>
  </si>
  <si>
    <t>ABUS.L.L.DBUS</t>
  </si>
  <si>
    <t>Latch DBUS as low byte</t>
  </si>
  <si>
    <t>Internal, decode</t>
  </si>
  <si>
    <t>ACT.L.DBUS</t>
  </si>
  <si>
    <t>Load ACT from DBUS</t>
  </si>
  <si>
    <t>ACT.L.A</t>
  </si>
  <si>
    <t>Load ACT from A</t>
  </si>
  <si>
    <t>ACT.OE</t>
  </si>
  <si>
    <t>Output ACT to ALU</t>
  </si>
  <si>
    <t>ALU2.L.ACT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</si>
  <si>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ACT</t>
    </r>
  </si>
  <si>
    <t>ALU2.L.A</t>
  </si>
  <si>
    <r>
      <t>Latch 2</t>
    </r>
    <r>
      <rPr>
        <vertAlign val="superscript"/>
        <sz val="11"/>
        <color theme="1"/>
        <rFont val="Arial"/>
        <family val="2"/>
      </rPr>
      <t>nd</t>
    </r>
    <r>
      <rPr>
        <sz val="11"/>
        <color theme="1"/>
        <rFont val="Arial"/>
        <family val="2"/>
      </rPr>
      <t xml:space="preserve"> ALU op from A</t>
    </r>
  </si>
  <si>
    <t>A.OE</t>
  </si>
  <si>
    <t>A is given to DBUS (use A.OE instead of A.OE.ACT because of {s}.OE!)</t>
  </si>
  <si>
    <t>A.OE.ACT</t>
  </si>
  <si>
    <t>A is given to ACT</t>
  </si>
  <si>
    <t>TMP.OE.ALU, ACT.OE, ALU.OP.SBC, ALU.OE, A.L</t>
  </si>
  <si>
    <t>F.CY.SET</t>
  </si>
  <si>
    <t>Set Carry</t>
  </si>
  <si>
    <t>F.CY.INV</t>
  </si>
  <si>
    <t>Invert carry (directly)</t>
  </si>
  <si>
    <t>TMP.OE.ALU, ACT.OE, ALU.OP.OR, ALU.OE, A.L</t>
  </si>
</sst>
</file>

<file path=xl/styles.xml><?xml version="1.0" encoding="utf-8"?>
<styleSheet xmlns="http://schemas.openxmlformats.org/spreadsheetml/2006/main">
  <fonts count="20">
    <font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FreeSans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1"/>
    </font>
    <font>
      <vertAlign val="superscript"/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007F"/>
        <bgColor rgb="FFFF007F"/>
      </patternFill>
    </fill>
    <fill>
      <patternFill patternType="solid">
        <fgColor rgb="FFFFFF88"/>
        <bgColor rgb="FFFFFF88"/>
      </patternFill>
    </fill>
    <fill>
      <patternFill patternType="solid">
        <fgColor rgb="FFFFCFF6"/>
        <bgColor rgb="FFFFCFF6"/>
      </patternFill>
    </fill>
    <fill>
      <patternFill patternType="solid">
        <fgColor rgb="FFCFD2FF"/>
        <bgColor rgb="FFCFD2FF"/>
      </patternFill>
    </fill>
    <fill>
      <patternFill patternType="solid">
        <fgColor rgb="FF8BFFC4"/>
        <bgColor rgb="FF8BFFC4"/>
      </patternFill>
    </fill>
    <fill>
      <patternFill patternType="solid">
        <fgColor rgb="FFFEF29E"/>
        <bgColor rgb="FFFEF29E"/>
      </patternFill>
    </fill>
    <fill>
      <patternFill patternType="solid">
        <fgColor rgb="FFBEBD3F"/>
        <bgColor rgb="FFBEBD3F"/>
      </patternFill>
    </fill>
    <fill>
      <patternFill patternType="solid">
        <fgColor rgb="FF2BD0D2"/>
        <bgColor rgb="FF2BD0D2"/>
      </patternFill>
    </fill>
    <fill>
      <patternFill patternType="solid">
        <fgColor rgb="FFEEEEEE"/>
        <bgColor rgb="FFEEEEEE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4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1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wrapText="1"/>
    </xf>
    <xf numFmtId="0" fontId="15" fillId="0" borderId="0" xfId="0" applyFont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 wrapText="1"/>
    </xf>
    <xf numFmtId="0" fontId="5" fillId="2" borderId="0" xfId="0" applyFont="1" applyFill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 wrapText="1"/>
    </xf>
    <xf numFmtId="0" fontId="0" fillId="9" borderId="0" xfId="0" applyFill="1" applyAlignment="1">
      <alignment horizontal="center" vertical="top"/>
    </xf>
    <xf numFmtId="0" fontId="17" fillId="9" borderId="0" xfId="0" applyFont="1" applyFill="1" applyAlignment="1">
      <alignment horizontal="left" vertical="top"/>
    </xf>
    <xf numFmtId="0" fontId="0" fillId="10" borderId="0" xfId="0" applyFill="1" applyAlignment="1">
      <alignment horizontal="center" vertical="top"/>
    </xf>
    <xf numFmtId="0" fontId="17" fillId="10" borderId="0" xfId="0" applyFont="1" applyFill="1" applyAlignment="1">
      <alignment horizontal="left" vertical="top"/>
    </xf>
    <xf numFmtId="0" fontId="0" fillId="11" borderId="0" xfId="0" applyFill="1" applyAlignment="1">
      <alignment horizontal="center" vertical="top"/>
    </xf>
    <xf numFmtId="0" fontId="16" fillId="11" borderId="0" xfId="0" applyFont="1" applyFill="1" applyAlignment="1">
      <alignment horizontal="center" vertical="top"/>
    </xf>
    <xf numFmtId="0" fontId="17" fillId="11" borderId="0" xfId="0" applyFont="1" applyFill="1" applyAlignment="1">
      <alignment horizontal="left" vertical="top"/>
    </xf>
    <xf numFmtId="0" fontId="0" fillId="0" borderId="0" xfId="0" applyAlignment="1">
      <alignment vertical="top"/>
    </xf>
    <xf numFmtId="0" fontId="0" fillId="12" borderId="0" xfId="0" applyFill="1" applyAlignment="1">
      <alignment horizontal="center" vertical="top"/>
    </xf>
    <xf numFmtId="0" fontId="0" fillId="13" borderId="0" xfId="0" applyFill="1" applyAlignment="1">
      <alignment horizontal="center" vertical="top"/>
    </xf>
    <xf numFmtId="0" fontId="17" fillId="12" borderId="0" xfId="0" applyFont="1" applyFill="1" applyAlignment="1">
      <alignment horizontal="left" vertical="top"/>
    </xf>
    <xf numFmtId="0" fontId="17" fillId="13" borderId="0" xfId="0" applyFont="1" applyFill="1" applyAlignment="1">
      <alignment horizontal="left" vertical="top"/>
    </xf>
    <xf numFmtId="0" fontId="0" fillId="14" borderId="0" xfId="0" applyFill="1" applyAlignment="1">
      <alignment horizontal="center" vertical="top"/>
    </xf>
    <xf numFmtId="0" fontId="17" fillId="14" borderId="0" xfId="0" applyFont="1" applyFill="1" applyAlignment="1">
      <alignment horizontal="left" vertical="top"/>
    </xf>
    <xf numFmtId="0" fontId="18" fillId="0" borderId="0" xfId="0" applyFont="1" applyAlignment="1">
      <alignment horizontal="left" vertical="top"/>
    </xf>
    <xf numFmtId="0" fontId="0" fillId="15" borderId="0" xfId="0" applyFill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0" fillId="16" borderId="0" xfId="0" applyFill="1" applyAlignment="1">
      <alignment horizontal="center" vertical="top"/>
    </xf>
    <xf numFmtId="0" fontId="17" fillId="16" borderId="0" xfId="0" applyFont="1" applyFill="1" applyAlignment="1">
      <alignment horizontal="left" vertical="top"/>
    </xf>
    <xf numFmtId="0" fontId="0" fillId="17" borderId="0" xfId="0" applyFill="1" applyAlignment="1">
      <alignment horizontal="center" vertical="top"/>
    </xf>
    <xf numFmtId="0" fontId="17" fillId="17" borderId="0" xfId="0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0" fillId="18" borderId="0" xfId="0" applyFill="1" applyAlignment="1">
      <alignment horizontal="left" vertical="top"/>
    </xf>
    <xf numFmtId="0" fontId="17" fillId="19" borderId="0" xfId="0" applyFont="1" applyFill="1" applyAlignment="1">
      <alignment horizontal="left" vertical="top"/>
    </xf>
    <xf numFmtId="49" fontId="0" fillId="0" borderId="0" xfId="0" applyNumberFormat="1"/>
    <xf numFmtId="49" fontId="16" fillId="0" borderId="0" xfId="0" applyNumberFormat="1" applyFont="1" applyAlignment="1">
      <alignment horizontal="center" vertical="top"/>
    </xf>
  </cellXfs>
  <cellStyles count="18">
    <cellStyle name="Accent" xfId="2"/>
    <cellStyle name="Accent 1" xfId="3"/>
    <cellStyle name="Accent 2" xfId="4"/>
    <cellStyle name="Accent 3" xfId="5"/>
    <cellStyle name="Bad" xfId="6"/>
    <cellStyle name="Error" xfId="7"/>
    <cellStyle name="Excel Built-in Explanatory Text" xfId="8"/>
    <cellStyle name="Footnote" xfId="9"/>
    <cellStyle name="Good" xfId="10"/>
    <cellStyle name="Heading" xfId="11"/>
    <cellStyle name="Heading 1" xfId="12"/>
    <cellStyle name="Heading 2" xfId="13"/>
    <cellStyle name="Neutral" xfId="1" builtinId="28" customBuiltin="1"/>
    <cellStyle name="Note" xfId="14"/>
    <cellStyle name="Standard" xfId="0" builtinId="0" customBuiltin="1"/>
    <cellStyle name="Status" xfId="15"/>
    <cellStyle name="Text" xfId="16"/>
    <cellStyle name="Warning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8544180" y="85979"/>
    <xdr:ext cx="13802936" cy="229743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8544180" y="85979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729FCF"/>
        </a:solidFill>
        <a:ln w="25400">
          <a:solidFill>
            <a:srgbClr val="3465A4"/>
          </a:solidFill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Write ODS to z80_isa.csv</a:t>
          </a:r>
        </a:p>
      </xdr:txBody>
    </xdr:sp>
    <xdr:clientData/>
  </xdr:absoluteAnchor>
  <xdr:absoluteAnchor>
    <xdr:pos x="22478523" y="84513"/>
    <xdr:ext cx="13802936" cy="229743"/>
    <xdr:sp macro="[0]!SaveISAasTxt" textlink="">
      <xdr:nvSpPr>
        <xdr:cNvPr id="3" name="Freihandform: Form 1">
          <a:extLst>
            <a:ext uri="{FF2B5EF4-FFF2-40B4-BE49-F238E27FC236}">
              <a16:creationId xmlns:a16="http://schemas.microsoft.com/office/drawing/2014/main" xmlns="" id="{42934635-FB1A-42FE-9AF6-71D3F55B1208}"/>
            </a:ext>
          </a:extLst>
        </xdr:cNvPr>
        <xdr:cNvSpPr/>
      </xdr:nvSpPr>
      <xdr:spPr>
        <a:xfrm>
          <a:off x="22478523" y="84513"/>
          <a:ext cx="13802936" cy="229743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solidFill>
                <a:sysClr val="windowText" lastClr="000000"/>
              </a:solidFill>
              <a:latin typeface="Liberation Serif" pitchFamily="18"/>
              <a:ea typeface="DejaVu Sans" pitchFamily="2"/>
              <a:cs typeface="DejaVu Sans" pitchFamily="2"/>
            </a:rPr>
            <a:t>Write XLS to z80_isa.csv (Ctrl-Shift-A)</a:t>
          </a:r>
        </a:p>
      </xdr:txBody>
    </xdr: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118233" y="4454270"/>
    <xdr:ext cx="558419" cy="235458"/>
    <xdr:sp macro="" textlink="">
      <xdr:nvSpPr>
        <xdr:cNvPr id="2" name="Freihandform: Form 1">
          <a:extLst>
            <a:ext uri="{FF2B5EF4-FFF2-40B4-BE49-F238E27FC236}">
              <a16:creationId xmlns:a16="http://schemas.microsoft.com/office/drawing/2014/main" xmlns="" id="{3D312AB1-AD19-4CB7-B174-C3023CB8F73D}"/>
            </a:ext>
          </a:extLst>
        </xdr:cNvPr>
        <xdr:cNvSpPr/>
      </xdr:nvSpPr>
      <xdr:spPr>
        <a:xfrm>
          <a:off x="2118233" y="4454270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INC1</a:t>
          </a:r>
        </a:p>
      </xdr:txBody>
    </xdr:sp>
    <xdr:clientData/>
  </xdr:absoluteAnchor>
  <xdr:absoluteAnchor>
    <xdr:pos x="2964180" y="4470527"/>
    <xdr:ext cx="558419" cy="235458"/>
    <xdr:sp macro="" textlink="">
      <xdr:nvSpPr>
        <xdr:cNvPr id="3" name="Freihandform: Form 2">
          <a:extLst>
            <a:ext uri="{FF2B5EF4-FFF2-40B4-BE49-F238E27FC236}">
              <a16:creationId xmlns:a16="http://schemas.microsoft.com/office/drawing/2014/main" xmlns="" id="{FCC03839-5075-4753-994D-B0FE56584382}"/>
            </a:ext>
          </a:extLst>
        </xdr:cNvPr>
        <xdr:cNvSpPr/>
      </xdr:nvSpPr>
      <xdr:spPr>
        <a:xfrm>
          <a:off x="2964180" y="447052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INC2</a:t>
          </a:r>
        </a:p>
      </xdr:txBody>
    </xdr:sp>
    <xdr:clientData/>
  </xdr:absoluteAnchor>
  <xdr:absoluteAnchor>
    <xdr:pos x="8776843" y="496062"/>
    <xdr:ext cx="558419" cy="235458"/>
    <xdr:sp macro="" textlink="">
      <xdr:nvSpPr>
        <xdr:cNvPr id="4" name="Freihandform: Form 3">
          <a:extLst>
            <a:ext uri="{FF2B5EF4-FFF2-40B4-BE49-F238E27FC236}">
              <a16:creationId xmlns:a16="http://schemas.microsoft.com/office/drawing/2014/main" xmlns="" id="{3016F2E7-B3F8-44DA-A34E-228FD10BBE98}"/>
            </a:ext>
          </a:extLst>
        </xdr:cNvPr>
        <xdr:cNvSpPr/>
      </xdr:nvSpPr>
      <xdr:spPr>
        <a:xfrm>
          <a:off x="8776843" y="49606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DBUF</a:t>
          </a:r>
        </a:p>
      </xdr:txBody>
    </xdr:sp>
    <xdr:clientData/>
  </xdr:absoluteAnchor>
  <xdr:absoluteAnchor>
    <xdr:pos x="8777097" y="5388864"/>
    <xdr:ext cx="558419" cy="235458"/>
    <xdr:sp macro="" textlink="">
      <xdr:nvSpPr>
        <xdr:cNvPr id="5" name="Freihandform: Form 4">
          <a:extLst>
            <a:ext uri="{FF2B5EF4-FFF2-40B4-BE49-F238E27FC236}">
              <a16:creationId xmlns:a16="http://schemas.microsoft.com/office/drawing/2014/main" xmlns="" id="{EAD7DE9B-638E-4DE0-A5FA-ECE3B591587F}"/>
            </a:ext>
          </a:extLst>
        </xdr:cNvPr>
        <xdr:cNvSpPr/>
      </xdr:nvSpPr>
      <xdr:spPr>
        <a:xfrm>
          <a:off x="8777097" y="5388864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ABUF</a:t>
          </a:r>
        </a:p>
      </xdr:txBody>
    </xdr:sp>
    <xdr:clientData/>
  </xdr:absoluteAnchor>
  <xdr:absoluteAnchor>
    <xdr:pos x="8777097" y="6331712"/>
    <xdr:ext cx="558419" cy="235458"/>
    <xdr:sp macro="" textlink="">
      <xdr:nvSpPr>
        <xdr:cNvPr id="6" name="Freihandform: Form 5">
          <a:extLst>
            <a:ext uri="{FF2B5EF4-FFF2-40B4-BE49-F238E27FC236}">
              <a16:creationId xmlns:a16="http://schemas.microsoft.com/office/drawing/2014/main" xmlns="" id="{5BF048BC-F43D-440B-9BD1-3C86AD2446D1}"/>
            </a:ext>
          </a:extLst>
        </xdr:cNvPr>
        <xdr:cNvSpPr/>
      </xdr:nvSpPr>
      <xdr:spPr>
        <a:xfrm>
          <a:off x="8777097" y="6331712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CBUF</a:t>
          </a:r>
        </a:p>
      </xdr:txBody>
    </xdr:sp>
    <xdr:clientData/>
  </xdr:absoluteAnchor>
  <xdr:absoluteAnchor>
    <xdr:pos x="550036" y="1825497"/>
    <xdr:ext cx="558419" cy="235458"/>
    <xdr:sp macro="" textlink="">
      <xdr:nvSpPr>
        <xdr:cNvPr id="7" name="Freihandform: Form 6">
          <a:extLst>
            <a:ext uri="{FF2B5EF4-FFF2-40B4-BE49-F238E27FC236}">
              <a16:creationId xmlns:a16="http://schemas.microsoft.com/office/drawing/2014/main" xmlns="" id="{DD950F8E-ED66-4251-B7DA-D1D3F8AA9991}"/>
            </a:ext>
          </a:extLst>
        </xdr:cNvPr>
        <xdr:cNvSpPr/>
      </xdr:nvSpPr>
      <xdr:spPr>
        <a:xfrm>
          <a:off x="550036" y="1825497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INSTR</a:t>
          </a:r>
        </a:p>
      </xdr:txBody>
    </xdr:sp>
    <xdr:clientData/>
  </xdr:absoluteAnchor>
  <xdr:absoluteAnchor>
    <xdr:pos x="7167626" y="2991231"/>
    <xdr:ext cx="558419" cy="235458"/>
    <xdr:sp macro="" textlink="">
      <xdr:nvSpPr>
        <xdr:cNvPr id="8" name="Freihandform: Form 7">
          <a:extLst>
            <a:ext uri="{FF2B5EF4-FFF2-40B4-BE49-F238E27FC236}">
              <a16:creationId xmlns:a16="http://schemas.microsoft.com/office/drawing/2014/main" xmlns="" id="{B80E54DD-11E9-4366-B2B3-EF17B83EFC3D}"/>
            </a:ext>
          </a:extLst>
        </xdr:cNvPr>
        <xdr:cNvSpPr/>
      </xdr:nvSpPr>
      <xdr:spPr>
        <a:xfrm>
          <a:off x="7167626" y="2991231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ALU1</a:t>
          </a:r>
        </a:p>
      </xdr:txBody>
    </xdr:sp>
    <xdr:clientData/>
  </xdr:absoluteAnchor>
  <xdr:absoluteAnchor>
    <xdr:pos x="8054340" y="2999105"/>
    <xdr:ext cx="558419" cy="235458"/>
    <xdr:sp macro="" textlink="">
      <xdr:nvSpPr>
        <xdr:cNvPr id="9" name="Freihandform: Form 8">
          <a:extLst>
            <a:ext uri="{FF2B5EF4-FFF2-40B4-BE49-F238E27FC236}">
              <a16:creationId xmlns:a16="http://schemas.microsoft.com/office/drawing/2014/main" xmlns="" id="{A8AE92E9-7812-4275-ACF7-C4071AA1E596}"/>
            </a:ext>
          </a:extLst>
        </xdr:cNvPr>
        <xdr:cNvSpPr/>
      </xdr:nvSpPr>
      <xdr:spPr>
        <a:xfrm>
          <a:off x="8054340" y="2999105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ALU2</a:t>
          </a:r>
        </a:p>
      </xdr:txBody>
    </xdr:sp>
    <xdr:clientData/>
  </xdr:absoluteAnchor>
  <xdr:absoluteAnchor>
    <xdr:pos x="7636002" y="3796156"/>
    <xdr:ext cx="558419" cy="235458"/>
    <xdr:sp macro="" textlink="">
      <xdr:nvSpPr>
        <xdr:cNvPr id="10" name="Freihandform: Form 9">
          <a:extLst>
            <a:ext uri="{FF2B5EF4-FFF2-40B4-BE49-F238E27FC236}">
              <a16:creationId xmlns:a16="http://schemas.microsoft.com/office/drawing/2014/main" xmlns="" id="{7B271176-5327-4760-A069-49784268BE3E}"/>
            </a:ext>
          </a:extLst>
        </xdr:cNvPr>
        <xdr:cNvSpPr/>
      </xdr:nvSpPr>
      <xdr:spPr>
        <a:xfrm>
          <a:off x="7636002" y="3796156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ALU</a:t>
          </a:r>
        </a:p>
      </xdr:txBody>
    </xdr:sp>
    <xdr:clientData/>
  </xdr:absoluteAnchor>
  <xdr:absoluteAnchor>
    <xdr:pos x="192923" y="245879"/>
    <xdr:ext cx="10115677" cy="6497955"/>
    <xdr:pic>
      <xdr:nvPicPr>
        <xdr:cNvPr id="11" name="Image 1">
          <a:extLst>
            <a:ext uri="{FF2B5EF4-FFF2-40B4-BE49-F238E27FC236}">
              <a16:creationId xmlns:a16="http://schemas.microsoft.com/office/drawing/2014/main" xmlns="" id="{3A31C48F-881F-4057-B23D-B82D27395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 rot="5400000">
          <a:off x="2001784" y="-1562982"/>
          <a:ext cx="6497955" cy="10115677"/>
        </a:xfrm>
        <a:prstGeom prst="rect">
          <a:avLst/>
        </a:prstGeom>
        <a:noFill/>
        <a:ln>
          <a:noFill/>
        </a:ln>
      </xdr:spPr>
    </xdr:pic>
    <xdr:clientData/>
  </xdr:absoluteAnchor>
  <xdr:absoluteAnchor>
    <xdr:pos x="6091936" y="4210558"/>
    <xdr:ext cx="558419" cy="235458"/>
    <xdr:sp macro="" textlink="">
      <xdr:nvSpPr>
        <xdr:cNvPr id="12" name="Freihandform: Form 11">
          <a:extLst>
            <a:ext uri="{FF2B5EF4-FFF2-40B4-BE49-F238E27FC236}">
              <a16:creationId xmlns:a16="http://schemas.microsoft.com/office/drawing/2014/main" xmlns="" id="{8F8F9861-B1E0-4F47-A414-1E8FF9219F84}"/>
            </a:ext>
          </a:extLst>
        </xdr:cNvPr>
        <xdr:cNvSpPr/>
      </xdr:nvSpPr>
      <xdr:spPr>
        <a:xfrm>
          <a:off x="6091936" y="4210558"/>
          <a:ext cx="558419" cy="235458"/>
        </a:xfrm>
        <a:custGeom>
          <a:avLst/>
          <a:gdLst>
            <a:gd name="f0" fmla="val 0"/>
            <a:gd name="f1" fmla="val 21600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</a:cxnLst>
          <a:rect l="l" t="t" r="r" b="b"/>
          <a:pathLst>
            <a:path w="21600" h="21600">
              <a:moveTo>
                <a:pt x="f0" y="f0"/>
              </a:moveTo>
              <a:lnTo>
                <a:pt x="f1" y="f0"/>
              </a:lnTo>
              <a:lnTo>
                <a:pt x="f1" y="f1"/>
              </a:lnTo>
              <a:lnTo>
                <a:pt x="f0" y="f1"/>
              </a:lnTo>
              <a:lnTo>
                <a:pt x="f0" y="f0"/>
              </a:lnTo>
              <a:close/>
            </a:path>
          </a:pathLst>
        </a:custGeom>
        <a:solidFill>
          <a:srgbClr val="EEEEEE"/>
        </a:solidFill>
        <a:ln>
          <a:noFill/>
          <a:prstDash val="solid"/>
        </a:ln>
      </xdr:spPr>
      <xdr:txBody>
        <a:bodyPr vert="horz" wrap="none" lIns="0" tIns="0" rIns="0" bIns="0" anchor="ctr" anchorCtr="0" compatLnSpc="0">
          <a:noAutofit/>
        </a:bodyPr>
        <a:lstStyle/>
        <a:p>
          <a:pPr lvl="0" rtl="0" hangingPunct="0">
            <a:buNone/>
            <a:tabLst/>
          </a:pPr>
          <a:r>
            <a:rPr lang="en-US" sz="1200" kern="1200">
              <a:latin typeface="Liberation Serif" pitchFamily="18"/>
              <a:ea typeface="DejaVu Sans" pitchFamily="2"/>
              <a:cs typeface="DejaVu Sans" pitchFamily="2"/>
            </a:rPr>
            <a:t>DISP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MJ666"/>
  <sheetViews>
    <sheetView tabSelected="1" topLeftCell="U1" zoomScale="85" zoomScaleNormal="85" workbookViewId="0">
      <pane ySplit="5" topLeftCell="A260" activePane="bottomLeft" state="frozen"/>
      <selection pane="bottomLeft" activeCell="Y266" sqref="Y266"/>
    </sheetView>
  </sheetViews>
  <sheetFormatPr baseColWidth="10" defaultRowHeight="14.25"/>
  <cols>
    <col min="1" max="1" width="7.5" style="2" customWidth="1"/>
    <col min="2" max="2" width="12.625" style="2" customWidth="1"/>
    <col min="3" max="7" width="6.625" style="2" customWidth="1"/>
    <col min="8" max="15" width="3.625" style="3" customWidth="1"/>
    <col min="16" max="16" width="4.75" style="3" customWidth="1"/>
    <col min="17" max="17" width="3.25" style="2" customWidth="1"/>
    <col min="18" max="18" width="12.25" style="2" customWidth="1"/>
    <col min="19" max="19" width="11.625" style="2" customWidth="1"/>
    <col min="20" max="20" width="29.5" style="2" customWidth="1"/>
    <col min="21" max="21" width="30.75" style="2" customWidth="1"/>
    <col min="22" max="34" width="10.75" style="4" customWidth="1"/>
    <col min="35" max="35" width="4" style="4" customWidth="1"/>
    <col min="36" max="36" width="3.875" style="4" customWidth="1"/>
    <col min="37" max="39" width="10.75" style="4" customWidth="1"/>
    <col min="40" max="41" width="10" style="4" customWidth="1"/>
    <col min="42" max="46" width="10.75" style="4" customWidth="1"/>
    <col min="47" max="1024" width="10.75" style="2" customWidth="1"/>
  </cols>
  <sheetData>
    <row r="1" spans="1:51">
      <c r="A1" s="1" t="s">
        <v>0</v>
      </c>
      <c r="B1"/>
      <c r="C1"/>
      <c r="D1"/>
      <c r="E1"/>
      <c r="F1"/>
    </row>
    <row r="2" spans="1:51">
      <c r="A2" s="2" t="s">
        <v>1</v>
      </c>
      <c r="B2"/>
      <c r="C2"/>
      <c r="D2"/>
      <c r="E2"/>
      <c r="F2"/>
    </row>
    <row r="3" spans="1:51" ht="9.4" customHeight="1">
      <c r="A3" s="5" t="s">
        <v>2</v>
      </c>
      <c r="B3"/>
      <c r="C3"/>
      <c r="D3"/>
      <c r="E3"/>
      <c r="F3"/>
    </row>
    <row r="4" spans="1:5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 t="s">
        <v>3</v>
      </c>
      <c r="W4" s="7"/>
      <c r="X4" s="7"/>
      <c r="Y4" s="7"/>
      <c r="Z4" s="7"/>
      <c r="AA4" s="7" t="s">
        <v>4</v>
      </c>
      <c r="AB4" s="7"/>
      <c r="AC4" s="7"/>
      <c r="AD4" s="7"/>
      <c r="AE4" s="7"/>
      <c r="AF4" s="7" t="s">
        <v>5</v>
      </c>
      <c r="AG4" s="7"/>
      <c r="AH4" s="7"/>
      <c r="AI4" s="7"/>
      <c r="AJ4" s="7"/>
      <c r="AK4" s="7" t="s">
        <v>6</v>
      </c>
      <c r="AL4" s="7"/>
      <c r="AM4" s="7"/>
      <c r="AN4" s="7"/>
      <c r="AO4" s="7"/>
      <c r="AP4" s="7" t="s">
        <v>7</v>
      </c>
      <c r="AQ4" s="7"/>
      <c r="AR4" s="7"/>
      <c r="AS4" s="7"/>
      <c r="AT4" s="7"/>
      <c r="AU4" s="7" t="s">
        <v>8</v>
      </c>
      <c r="AV4" s="7"/>
      <c r="AW4" s="7"/>
      <c r="AX4" s="7"/>
      <c r="AY4" s="7"/>
    </row>
    <row r="5" spans="1:51">
      <c r="A5" s="6" t="s">
        <v>9</v>
      </c>
      <c r="B5" s="6" t="s">
        <v>10</v>
      </c>
      <c r="C5" s="6" t="s">
        <v>11</v>
      </c>
      <c r="D5" s="6" t="s">
        <v>12</v>
      </c>
      <c r="E5" s="6" t="s">
        <v>13</v>
      </c>
      <c r="F5" s="6" t="s">
        <v>14</v>
      </c>
      <c r="G5" s="6" t="s">
        <v>15</v>
      </c>
      <c r="H5" s="6" t="s">
        <v>16</v>
      </c>
      <c r="I5" s="8"/>
      <c r="J5" s="8"/>
      <c r="K5" s="8"/>
      <c r="L5" s="8"/>
      <c r="M5" s="8"/>
      <c r="N5" s="8"/>
      <c r="O5" s="8"/>
      <c r="P5" s="8"/>
      <c r="Q5" s="6" t="s">
        <v>17</v>
      </c>
      <c r="R5" s="6" t="s">
        <v>18</v>
      </c>
      <c r="S5" s="6" t="s">
        <v>19</v>
      </c>
      <c r="T5" s="6" t="s">
        <v>20</v>
      </c>
      <c r="U5" s="6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22</v>
      </c>
      <c r="AB5" s="7" t="s">
        <v>23</v>
      </c>
      <c r="AC5" s="7" t="s">
        <v>24</v>
      </c>
      <c r="AD5" s="7" t="s">
        <v>25</v>
      </c>
      <c r="AE5" s="7" t="s">
        <v>26</v>
      </c>
      <c r="AF5" s="7" t="s">
        <v>22</v>
      </c>
      <c r="AG5" s="7" t="s">
        <v>23</v>
      </c>
      <c r="AH5" s="7" t="s">
        <v>24</v>
      </c>
      <c r="AI5" s="7" t="s">
        <v>25</v>
      </c>
      <c r="AJ5" s="7" t="s">
        <v>26</v>
      </c>
      <c r="AK5" s="7" t="s">
        <v>22</v>
      </c>
      <c r="AL5" s="7" t="s">
        <v>23</v>
      </c>
      <c r="AM5" s="7" t="s">
        <v>24</v>
      </c>
      <c r="AN5" s="7" t="s">
        <v>25</v>
      </c>
      <c r="AO5" s="7" t="s">
        <v>26</v>
      </c>
      <c r="AP5" s="7" t="s">
        <v>22</v>
      </c>
      <c r="AQ5" s="7" t="s">
        <v>23</v>
      </c>
      <c r="AR5" s="7" t="s">
        <v>24</v>
      </c>
      <c r="AS5" s="7" t="s">
        <v>25</v>
      </c>
      <c r="AT5" s="7" t="s">
        <v>26</v>
      </c>
      <c r="AU5" s="7" t="s">
        <v>22</v>
      </c>
      <c r="AV5" s="7" t="s">
        <v>23</v>
      </c>
      <c r="AW5" s="7" t="s">
        <v>24</v>
      </c>
      <c r="AX5" s="7" t="s">
        <v>25</v>
      </c>
      <c r="AY5" s="7" t="s">
        <v>26</v>
      </c>
    </row>
    <row r="6" spans="1:51" ht="57">
      <c r="A6" s="2" t="s">
        <v>27</v>
      </c>
      <c r="B6" s="2" t="s">
        <v>28</v>
      </c>
      <c r="C6" s="2" t="s">
        <v>29</v>
      </c>
      <c r="D6" s="2" t="s">
        <v>30</v>
      </c>
      <c r="E6" s="2" t="s">
        <v>31</v>
      </c>
      <c r="F6" s="2" t="s">
        <v>31</v>
      </c>
      <c r="G6" s="2">
        <v>0</v>
      </c>
      <c r="H6" s="3">
        <v>0</v>
      </c>
      <c r="I6" s="3">
        <v>1</v>
      </c>
      <c r="J6" s="3" t="s">
        <v>32</v>
      </c>
      <c r="K6" s="3" t="s">
        <v>32</v>
      </c>
      <c r="L6" s="3" t="s">
        <v>32</v>
      </c>
      <c r="M6" s="3" t="s">
        <v>33</v>
      </c>
      <c r="N6" s="3" t="s">
        <v>33</v>
      </c>
      <c r="O6" s="3" t="s">
        <v>33</v>
      </c>
      <c r="P6" s="9"/>
      <c r="Q6" s="2">
        <v>1</v>
      </c>
      <c r="R6" s="2">
        <v>4</v>
      </c>
      <c r="T6" s="2" t="s">
        <v>34</v>
      </c>
      <c r="V6" s="4" t="s">
        <v>35</v>
      </c>
      <c r="W6" s="4" t="s">
        <v>36</v>
      </c>
      <c r="X6" s="4" t="s">
        <v>37</v>
      </c>
      <c r="Y6" s="4" t="s">
        <v>38</v>
      </c>
      <c r="Z6" s="10" t="s">
        <v>39</v>
      </c>
    </row>
    <row r="7" spans="1:51">
      <c r="P7" s="9"/>
    </row>
    <row r="8" spans="1:51" ht="57">
      <c r="A8" s="2" t="s">
        <v>27</v>
      </c>
      <c r="B8" s="2" t="s">
        <v>40</v>
      </c>
      <c r="C8" s="2" t="s">
        <v>29</v>
      </c>
      <c r="D8" s="2" t="s">
        <v>41</v>
      </c>
      <c r="E8" s="2" t="s">
        <v>31</v>
      </c>
      <c r="F8" s="2" t="s">
        <v>42</v>
      </c>
      <c r="G8" s="2">
        <v>0</v>
      </c>
      <c r="H8" s="3">
        <v>0</v>
      </c>
      <c r="I8" s="3">
        <v>0</v>
      </c>
      <c r="J8" s="3" t="s">
        <v>32</v>
      </c>
      <c r="K8" s="3" t="s">
        <v>32</v>
      </c>
      <c r="L8" s="3" t="s">
        <v>32</v>
      </c>
      <c r="M8" s="3">
        <v>1</v>
      </c>
      <c r="N8" s="3">
        <v>1</v>
      </c>
      <c r="O8" s="3">
        <v>0</v>
      </c>
      <c r="P8" s="9"/>
      <c r="Q8" s="2">
        <v>2</v>
      </c>
      <c r="R8" s="2" t="s">
        <v>43</v>
      </c>
      <c r="T8" s="2" t="s">
        <v>44</v>
      </c>
      <c r="V8" s="4" t="str">
        <f>$V$6</f>
        <v>PC.OE, ABUF.L, INC2.P, INC2.L</v>
      </c>
      <c r="W8" s="4" t="str">
        <f>$W$6</f>
        <v>INC2.P, INC2.OE, PC.L.INC2, DBUF.L.IN</v>
      </c>
      <c r="X8" s="4" t="str">
        <f>$X$6</f>
        <v>DBUF.L.IN, INSTR.L</v>
      </c>
      <c r="Y8" s="4" t="s">
        <v>45</v>
      </c>
      <c r="Z8" s="4" t="s">
        <v>46</v>
      </c>
      <c r="AA8" s="4" t="s">
        <v>35</v>
      </c>
      <c r="AB8" s="4" t="s">
        <v>36</v>
      </c>
      <c r="AC8" s="4" t="s">
        <v>47</v>
      </c>
    </row>
    <row r="9" spans="1:51" ht="12.75" customHeight="1">
      <c r="G9" s="2">
        <v>1</v>
      </c>
      <c r="H9" s="3" t="s">
        <v>48</v>
      </c>
      <c r="I9" s="3" t="s">
        <v>48</v>
      </c>
      <c r="J9" s="3" t="s">
        <v>48</v>
      </c>
      <c r="K9" s="3" t="s">
        <v>48</v>
      </c>
      <c r="L9" s="3" t="s">
        <v>48</v>
      </c>
      <c r="M9" s="3" t="s">
        <v>48</v>
      </c>
      <c r="N9" s="3" t="s">
        <v>48</v>
      </c>
      <c r="O9" s="3" t="s">
        <v>48</v>
      </c>
      <c r="P9" s="9"/>
    </row>
    <row r="10" spans="1:51">
      <c r="P10" s="9"/>
    </row>
    <row r="11" spans="1:51" ht="57">
      <c r="A11" s="2" t="s">
        <v>27</v>
      </c>
      <c r="B11" s="2" t="s">
        <v>49</v>
      </c>
      <c r="C11" s="2" t="s">
        <v>29</v>
      </c>
      <c r="D11" s="2" t="s">
        <v>50</v>
      </c>
      <c r="E11" s="2" t="s">
        <v>31</v>
      </c>
      <c r="F11" s="2" t="s">
        <v>51</v>
      </c>
      <c r="G11" s="2">
        <v>0</v>
      </c>
      <c r="H11" s="3">
        <v>0</v>
      </c>
      <c r="I11" s="3">
        <v>1</v>
      </c>
      <c r="J11" s="3" t="s">
        <v>32</v>
      </c>
      <c r="K11" s="3" t="s">
        <v>32</v>
      </c>
      <c r="L11" s="3" t="s">
        <v>32</v>
      </c>
      <c r="M11" s="11">
        <v>1</v>
      </c>
      <c r="N11" s="11">
        <v>1</v>
      </c>
      <c r="O11" s="11">
        <v>0</v>
      </c>
      <c r="P11" s="9"/>
      <c r="Q11" s="2">
        <v>2</v>
      </c>
      <c r="R11" s="2" t="s">
        <v>43</v>
      </c>
      <c r="T11" s="2" t="s">
        <v>52</v>
      </c>
      <c r="U11" s="12" t="s">
        <v>53</v>
      </c>
      <c r="V11" s="4" t="str">
        <f>$V$6</f>
        <v>PC.OE, ABUF.L, INC2.P, INC2.L</v>
      </c>
      <c r="W11" s="4" t="str">
        <f>$W$6</f>
        <v>INC2.P, INC2.OE, PC.L.INC2, DBUF.L.IN</v>
      </c>
      <c r="X11" s="4" t="str">
        <f>$X$6</f>
        <v>DBUF.L.IN, INSTR.L</v>
      </c>
      <c r="Y11" s="4" t="s">
        <v>45</v>
      </c>
      <c r="Z11" s="4" t="s">
        <v>46</v>
      </c>
      <c r="AA11" s="4" t="s">
        <v>54</v>
      </c>
      <c r="AB11" s="4" t="s">
        <v>55</v>
      </c>
      <c r="AC11" s="4" t="s">
        <v>47</v>
      </c>
    </row>
    <row r="12" spans="1:51">
      <c r="P12" s="9"/>
    </row>
    <row r="13" spans="1:51" ht="71.25">
      <c r="A13" s="2" t="s">
        <v>27</v>
      </c>
      <c r="B13" s="2" t="s">
        <v>56</v>
      </c>
      <c r="C13" s="2" t="s">
        <v>29</v>
      </c>
      <c r="D13" s="2" t="s">
        <v>57</v>
      </c>
      <c r="E13" s="2" t="s">
        <v>31</v>
      </c>
      <c r="F13" s="2" t="s">
        <v>45</v>
      </c>
      <c r="G13" s="2">
        <v>0</v>
      </c>
      <c r="H13" s="3">
        <v>1</v>
      </c>
      <c r="I13" s="3">
        <v>1</v>
      </c>
      <c r="J13" s="13">
        <v>0</v>
      </c>
      <c r="K13" s="3">
        <v>1</v>
      </c>
      <c r="L13" s="3">
        <v>1</v>
      </c>
      <c r="M13" s="3">
        <v>1</v>
      </c>
      <c r="N13" s="3">
        <v>0</v>
      </c>
      <c r="O13" s="3">
        <v>1</v>
      </c>
      <c r="P13" s="9" t="str">
        <f>BIN2HEX(""&amp;H13&amp;I13&amp;J13&amp;K13&amp;L13&amp;M13&amp;N13&amp;O13,2)</f>
        <v>DD</v>
      </c>
      <c r="Q13" s="2">
        <v>5</v>
      </c>
      <c r="R13" s="2" t="s">
        <v>58</v>
      </c>
      <c r="T13" s="2" t="s">
        <v>59</v>
      </c>
      <c r="U13" s="14" t="s">
        <v>60</v>
      </c>
      <c r="V13" s="4" t="str">
        <f>$V$6</f>
        <v>PC.OE, ABUF.L, INC2.P, INC2.L</v>
      </c>
      <c r="W13" s="4" t="str">
        <f>$W$6</f>
        <v>INC2.P, INC2.OE, PC.L.INC2, DBUF.L.IN</v>
      </c>
      <c r="X13" s="4" t="str">
        <f>$X$6</f>
        <v>DBUF.L.IN, INSTR.L</v>
      </c>
      <c r="Y13" s="4" t="s">
        <v>45</v>
      </c>
      <c r="Z13" s="4" t="s">
        <v>46</v>
      </c>
      <c r="AA13" s="4" t="s">
        <v>35</v>
      </c>
      <c r="AB13" s="4" t="s">
        <v>36</v>
      </c>
      <c r="AC13" s="4" t="s">
        <v>37</v>
      </c>
      <c r="AD13" s="4" t="s">
        <v>45</v>
      </c>
      <c r="AE13" s="4" t="s">
        <v>46</v>
      </c>
      <c r="AF13" s="4" t="s">
        <v>35</v>
      </c>
      <c r="AG13" s="4" t="s">
        <v>36</v>
      </c>
      <c r="AH13" s="4" t="s">
        <v>61</v>
      </c>
      <c r="AI13" s="4" t="s">
        <v>46</v>
      </c>
      <c r="AJ13" s="4" t="s">
        <v>46</v>
      </c>
      <c r="AK13" s="4" t="s">
        <v>62</v>
      </c>
      <c r="AL13" s="4" t="s">
        <v>63</v>
      </c>
      <c r="AM13" s="4" t="s">
        <v>55</v>
      </c>
      <c r="AN13" s="4" t="s">
        <v>47</v>
      </c>
    </row>
    <row r="14" spans="1:51">
      <c r="G14" s="2">
        <v>1</v>
      </c>
      <c r="H14" s="3">
        <v>0</v>
      </c>
      <c r="I14" s="3">
        <v>1</v>
      </c>
      <c r="J14" s="3" t="s">
        <v>32</v>
      </c>
      <c r="K14" s="3" t="s">
        <v>32</v>
      </c>
      <c r="L14" s="3" t="s">
        <v>32</v>
      </c>
      <c r="M14" s="15">
        <v>1</v>
      </c>
      <c r="N14" s="15">
        <v>1</v>
      </c>
      <c r="O14" s="15">
        <v>0</v>
      </c>
      <c r="P14" s="16"/>
    </row>
    <row r="15" spans="1:51">
      <c r="G15" s="2">
        <v>2</v>
      </c>
      <c r="H15" s="3" t="s">
        <v>64</v>
      </c>
      <c r="I15" s="3" t="s">
        <v>64</v>
      </c>
      <c r="J15" s="3" t="s">
        <v>64</v>
      </c>
      <c r="K15" s="3" t="s">
        <v>64</v>
      </c>
      <c r="L15" s="3" t="s">
        <v>64</v>
      </c>
      <c r="M15" s="3" t="s">
        <v>64</v>
      </c>
      <c r="N15" s="3" t="s">
        <v>64</v>
      </c>
      <c r="O15" s="3" t="s">
        <v>64</v>
      </c>
      <c r="P15" s="9"/>
    </row>
    <row r="16" spans="1:51">
      <c r="P16" s="9"/>
    </row>
    <row r="17" spans="1:40" ht="57">
      <c r="A17" s="2" t="s">
        <v>27</v>
      </c>
      <c r="B17" s="2" t="s">
        <v>65</v>
      </c>
      <c r="C17" s="2" t="s">
        <v>29</v>
      </c>
      <c r="D17" s="2" t="s">
        <v>66</v>
      </c>
      <c r="E17" s="2" t="s">
        <v>31</v>
      </c>
      <c r="F17" s="2" t="s">
        <v>45</v>
      </c>
      <c r="G17" s="2">
        <v>0</v>
      </c>
      <c r="H17" s="3">
        <v>1</v>
      </c>
      <c r="I17" s="3">
        <v>1</v>
      </c>
      <c r="J17" s="13">
        <v>1</v>
      </c>
      <c r="K17" s="3">
        <v>1</v>
      </c>
      <c r="L17" s="3">
        <v>1</v>
      </c>
      <c r="M17" s="3">
        <v>1</v>
      </c>
      <c r="N17" s="3">
        <v>0</v>
      </c>
      <c r="O17" s="3">
        <v>1</v>
      </c>
      <c r="P17" s="9" t="str">
        <f>BIN2HEX(""&amp;H17&amp;I17&amp;J17&amp;K17&amp;L17&amp;M17&amp;N17&amp;O17,2)</f>
        <v>FD</v>
      </c>
      <c r="Q17" s="2">
        <v>5</v>
      </c>
      <c r="R17" s="2" t="s">
        <v>58</v>
      </c>
      <c r="T17" s="2" t="s">
        <v>67</v>
      </c>
      <c r="V17" s="4" t="str">
        <f t="shared" ref="V17:AJ17" si="0">V13</f>
        <v>PC.OE, ABUF.L, INC2.P, INC2.L</v>
      </c>
      <c r="W17" s="4" t="str">
        <f t="shared" si="0"/>
        <v>INC2.P, INC2.OE, PC.L.INC2, DBUF.L.IN</v>
      </c>
      <c r="X17" s="4" t="str">
        <f t="shared" si="0"/>
        <v>DBUF.L.IN, INSTR.L</v>
      </c>
      <c r="Y17" s="4" t="str">
        <f t="shared" si="0"/>
        <v>X</v>
      </c>
      <c r="Z17" s="4" t="str">
        <f t="shared" si="0"/>
        <v>-</v>
      </c>
      <c r="AA17" s="4" t="str">
        <f t="shared" si="0"/>
        <v>PC.OE, ABUF.L, INC2.P, INC2.L</v>
      </c>
      <c r="AB17" s="4" t="str">
        <f t="shared" si="0"/>
        <v>INC2.P, INC2.OE, PC.L.INC2, DBUF.L.IN</v>
      </c>
      <c r="AC17" s="4" t="str">
        <f t="shared" si="0"/>
        <v>DBUF.L.IN, INSTR.L</v>
      </c>
      <c r="AD17" s="4" t="str">
        <f t="shared" si="0"/>
        <v>X</v>
      </c>
      <c r="AE17" s="4" t="str">
        <f t="shared" si="0"/>
        <v>-</v>
      </c>
      <c r="AF17" s="4" t="str">
        <f t="shared" si="0"/>
        <v>PC.OE, ABUF.L, INC2.P, INC2.L</v>
      </c>
      <c r="AG17" s="4" t="str">
        <f t="shared" si="0"/>
        <v>INC2.P, INC2.OE, PC.L.INC2, DBUF.L.IN</v>
      </c>
      <c r="AH17" s="4" t="str">
        <f t="shared" si="0"/>
        <v>DBUF.L.IN, TMP.L</v>
      </c>
      <c r="AI17" s="4" t="str">
        <f t="shared" si="0"/>
        <v>-</v>
      </c>
      <c r="AJ17" s="4" t="str">
        <f t="shared" si="0"/>
        <v>-</v>
      </c>
      <c r="AK17" s="4" t="s">
        <v>68</v>
      </c>
      <c r="AL17" s="4" t="str">
        <f>AL13</f>
        <v>DISP.OE, ABUF.L</v>
      </c>
      <c r="AM17" s="4" t="str">
        <f>AM13</f>
        <v>DBUF.L.IN</v>
      </c>
      <c r="AN17" s="4" t="str">
        <f>AN13</f>
        <v>DBUF.L.IN, {r}.L</v>
      </c>
    </row>
    <row r="18" spans="1:40">
      <c r="G18" s="2">
        <v>1</v>
      </c>
      <c r="H18" s="3">
        <v>0</v>
      </c>
      <c r="I18" s="3">
        <v>1</v>
      </c>
      <c r="J18" s="3" t="s">
        <v>32</v>
      </c>
      <c r="K18" s="3" t="s">
        <v>32</v>
      </c>
      <c r="L18" s="3" t="s">
        <v>32</v>
      </c>
      <c r="M18" s="15">
        <v>1</v>
      </c>
      <c r="N18" s="15">
        <v>1</v>
      </c>
      <c r="O18" s="15">
        <v>0</v>
      </c>
      <c r="P18" s="16"/>
    </row>
    <row r="19" spans="1:40">
      <c r="G19" s="2">
        <v>2</v>
      </c>
      <c r="H19" s="3" t="s">
        <v>64</v>
      </c>
      <c r="I19" s="3" t="s">
        <v>64</v>
      </c>
      <c r="J19" s="3" t="s">
        <v>64</v>
      </c>
      <c r="K19" s="3" t="s">
        <v>64</v>
      </c>
      <c r="L19" s="3" t="s">
        <v>64</v>
      </c>
      <c r="M19" s="3" t="s">
        <v>64</v>
      </c>
      <c r="N19" s="3" t="s">
        <v>64</v>
      </c>
      <c r="O19" s="3" t="s">
        <v>64</v>
      </c>
      <c r="P19" s="9"/>
    </row>
    <row r="20" spans="1:40">
      <c r="P20" s="9"/>
    </row>
    <row r="21" spans="1:40" ht="57">
      <c r="A21" s="2" t="s">
        <v>27</v>
      </c>
      <c r="B21" s="2" t="s">
        <v>69</v>
      </c>
      <c r="C21" s="2" t="s">
        <v>50</v>
      </c>
      <c r="D21" s="2" t="s">
        <v>29</v>
      </c>
      <c r="E21" s="2" t="s">
        <v>51</v>
      </c>
      <c r="F21" s="2" t="s">
        <v>31</v>
      </c>
      <c r="G21" s="2">
        <v>0</v>
      </c>
      <c r="H21" s="3">
        <v>0</v>
      </c>
      <c r="I21" s="3">
        <v>1</v>
      </c>
      <c r="J21" s="15">
        <v>1</v>
      </c>
      <c r="K21" s="15">
        <v>1</v>
      </c>
      <c r="L21" s="15">
        <v>0</v>
      </c>
      <c r="M21" s="3" t="s">
        <v>32</v>
      </c>
      <c r="N21" s="3" t="s">
        <v>32</v>
      </c>
      <c r="O21" s="3" t="s">
        <v>32</v>
      </c>
      <c r="P21" s="9"/>
      <c r="Q21" s="2">
        <v>2</v>
      </c>
      <c r="R21" s="2" t="s">
        <v>43</v>
      </c>
      <c r="T21" s="2" t="s">
        <v>70</v>
      </c>
      <c r="V21" s="4" t="str">
        <f>V17</f>
        <v>PC.OE, ABUF.L, INC2.P, INC2.L</v>
      </c>
      <c r="W21" s="4" t="str">
        <f>W17</f>
        <v>INC2.P, INC2.OE, PC.L.INC2, DBUF.L.IN</v>
      </c>
      <c r="X21" s="4" t="str">
        <f>X17</f>
        <v>DBUF.L.IN, INSTR.L</v>
      </c>
      <c r="Y21" s="4" t="str">
        <f>Y17</f>
        <v>X</v>
      </c>
      <c r="Z21" s="4" t="str">
        <f>Z17</f>
        <v>-</v>
      </c>
      <c r="AA21" s="4" t="s">
        <v>54</v>
      </c>
      <c r="AB21" s="4" t="s">
        <v>71</v>
      </c>
      <c r="AC21" s="4" t="s">
        <v>72</v>
      </c>
    </row>
    <row r="22" spans="1:40">
      <c r="P22" s="9"/>
    </row>
    <row r="23" spans="1:40" ht="71.25">
      <c r="A23" s="2" t="s">
        <v>27</v>
      </c>
      <c r="B23" s="2" t="s">
        <v>73</v>
      </c>
      <c r="C23" s="2" t="s">
        <v>57</v>
      </c>
      <c r="D23" s="2" t="s">
        <v>29</v>
      </c>
      <c r="E23" s="2" t="s">
        <v>45</v>
      </c>
      <c r="F23" s="2" t="s">
        <v>31</v>
      </c>
      <c r="G23" s="2">
        <v>0</v>
      </c>
      <c r="H23" s="3">
        <v>1</v>
      </c>
      <c r="I23" s="3">
        <v>1</v>
      </c>
      <c r="J23" s="13">
        <v>0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9" t="str">
        <f>BIN2HEX(""&amp;H23&amp;I23&amp;J23&amp;K23&amp;L23&amp;M23&amp;N23&amp;O23,2)</f>
        <v>DD</v>
      </c>
      <c r="Q23" s="2">
        <v>5</v>
      </c>
      <c r="R23" s="2" t="s">
        <v>58</v>
      </c>
      <c r="T23" s="2" t="s">
        <v>74</v>
      </c>
      <c r="V23" s="4" t="str">
        <f>$V$6</f>
        <v>PC.OE, ABUF.L, INC2.P, INC2.L</v>
      </c>
      <c r="W23" s="4" t="str">
        <f>$W$6</f>
        <v>INC2.P, INC2.OE, PC.L.INC2, DBUF.L.IN</v>
      </c>
      <c r="X23" s="4" t="str">
        <f>$X$6</f>
        <v>DBUF.L.IN, INSTR.L</v>
      </c>
      <c r="Y23" s="4" t="s">
        <v>45</v>
      </c>
      <c r="Z23" s="4" t="s">
        <v>46</v>
      </c>
      <c r="AA23" s="4" t="s">
        <v>35</v>
      </c>
      <c r="AB23" s="4" t="s">
        <v>36</v>
      </c>
      <c r="AC23" s="4" t="s">
        <v>37</v>
      </c>
      <c r="AD23" s="4" t="s">
        <v>45</v>
      </c>
      <c r="AE23" s="4" t="s">
        <v>46</v>
      </c>
      <c r="AF23" s="4" t="s">
        <v>35</v>
      </c>
      <c r="AG23" s="4" t="s">
        <v>36</v>
      </c>
      <c r="AH23" s="4" t="s">
        <v>61</v>
      </c>
      <c r="AI23" s="4" t="s">
        <v>46</v>
      </c>
      <c r="AJ23" s="4" t="s">
        <v>46</v>
      </c>
      <c r="AK23" s="4" t="s">
        <v>62</v>
      </c>
      <c r="AL23" s="4" t="s">
        <v>75</v>
      </c>
      <c r="AM23" s="4" t="s">
        <v>71</v>
      </c>
      <c r="AN23" s="4" t="s">
        <v>72</v>
      </c>
    </row>
    <row r="24" spans="1:40">
      <c r="G24" s="2">
        <v>1</v>
      </c>
      <c r="H24" s="3">
        <v>0</v>
      </c>
      <c r="I24" s="3">
        <v>1</v>
      </c>
      <c r="J24" s="15">
        <v>1</v>
      </c>
      <c r="K24" s="15">
        <v>1</v>
      </c>
      <c r="L24" s="15">
        <v>0</v>
      </c>
      <c r="M24" s="3" t="s">
        <v>32</v>
      </c>
      <c r="N24" s="3" t="s">
        <v>32</v>
      </c>
      <c r="O24" s="3" t="s">
        <v>32</v>
      </c>
      <c r="P24" s="9"/>
      <c r="U24" s="17" t="s">
        <v>76</v>
      </c>
    </row>
    <row r="25" spans="1:40">
      <c r="G25" s="2">
        <v>2</v>
      </c>
      <c r="H25" s="3" t="s">
        <v>64</v>
      </c>
      <c r="I25" s="3" t="s">
        <v>64</v>
      </c>
      <c r="J25" s="3" t="s">
        <v>64</v>
      </c>
      <c r="K25" s="3" t="s">
        <v>64</v>
      </c>
      <c r="L25" s="3" t="s">
        <v>64</v>
      </c>
      <c r="M25" s="3" t="s">
        <v>64</v>
      </c>
      <c r="N25" s="3" t="s">
        <v>64</v>
      </c>
      <c r="O25" s="3" t="s">
        <v>64</v>
      </c>
      <c r="P25" s="9"/>
    </row>
    <row r="26" spans="1:40">
      <c r="P26" s="9"/>
    </row>
    <row r="27" spans="1:40" ht="71.25">
      <c r="A27" s="2" t="s">
        <v>27</v>
      </c>
      <c r="B27" s="2" t="s">
        <v>77</v>
      </c>
      <c r="C27" s="2" t="s">
        <v>66</v>
      </c>
      <c r="D27" s="2" t="s">
        <v>29</v>
      </c>
      <c r="E27" s="2" t="s">
        <v>45</v>
      </c>
      <c r="F27" s="2" t="s">
        <v>31</v>
      </c>
      <c r="G27" s="2">
        <v>0</v>
      </c>
      <c r="H27" s="3">
        <v>1</v>
      </c>
      <c r="I27" s="3">
        <v>1</v>
      </c>
      <c r="J27" s="13">
        <v>1</v>
      </c>
      <c r="K27" s="3">
        <v>1</v>
      </c>
      <c r="L27" s="3">
        <v>1</v>
      </c>
      <c r="M27" s="3">
        <v>1</v>
      </c>
      <c r="N27" s="3">
        <v>0</v>
      </c>
      <c r="O27" s="3">
        <v>1</v>
      </c>
      <c r="P27" s="9" t="str">
        <f>BIN2HEX(""&amp;H27&amp;I27&amp;J27&amp;K27&amp;L27&amp;M27&amp;N27&amp;O27,2)</f>
        <v>FD</v>
      </c>
      <c r="Q27" s="2">
        <v>5</v>
      </c>
      <c r="R27" s="2" t="s">
        <v>58</v>
      </c>
      <c r="T27" s="2" t="s">
        <v>78</v>
      </c>
      <c r="V27" s="4" t="str">
        <f>$V$6</f>
        <v>PC.OE, ABUF.L, INC2.P, INC2.L</v>
      </c>
      <c r="W27" s="4" t="str">
        <f>$W$6</f>
        <v>INC2.P, INC2.OE, PC.L.INC2, DBUF.L.IN</v>
      </c>
      <c r="X27" s="4" t="str">
        <f>$X$6</f>
        <v>DBUF.L.IN, INSTR.L</v>
      </c>
      <c r="Y27" s="4" t="s">
        <v>45</v>
      </c>
      <c r="Z27" s="4" t="s">
        <v>46</v>
      </c>
      <c r="AA27" s="4" t="s">
        <v>35</v>
      </c>
      <c r="AB27" s="4" t="s">
        <v>36</v>
      </c>
      <c r="AC27" s="4" t="s">
        <v>37</v>
      </c>
      <c r="AD27" s="4" t="s">
        <v>45</v>
      </c>
      <c r="AE27" s="4" t="s">
        <v>46</v>
      </c>
      <c r="AF27" s="4" t="s">
        <v>35</v>
      </c>
      <c r="AG27" s="4" t="s">
        <v>36</v>
      </c>
      <c r="AH27" s="4" t="s">
        <v>61</v>
      </c>
      <c r="AI27" s="4" t="s">
        <v>46</v>
      </c>
      <c r="AJ27" s="4" t="s">
        <v>46</v>
      </c>
      <c r="AK27" s="4" t="s">
        <v>79</v>
      </c>
      <c r="AL27" s="4" t="s">
        <v>75</v>
      </c>
      <c r="AM27" s="4" t="s">
        <v>71</v>
      </c>
      <c r="AN27" s="4" t="s">
        <v>72</v>
      </c>
    </row>
    <row r="28" spans="1:40">
      <c r="G28" s="2">
        <v>1</v>
      </c>
      <c r="H28" s="3">
        <v>0</v>
      </c>
      <c r="I28" s="3">
        <v>1</v>
      </c>
      <c r="J28" s="15">
        <v>1</v>
      </c>
      <c r="K28" s="15">
        <v>1</v>
      </c>
      <c r="L28" s="15">
        <v>0</v>
      </c>
      <c r="M28" s="3" t="s">
        <v>32</v>
      </c>
      <c r="N28" s="3" t="s">
        <v>32</v>
      </c>
      <c r="O28" s="3" t="s">
        <v>32</v>
      </c>
      <c r="P28" s="9"/>
    </row>
    <row r="29" spans="1:40">
      <c r="G29" s="2">
        <v>2</v>
      </c>
      <c r="H29" s="3" t="s">
        <v>64</v>
      </c>
      <c r="I29" s="3" t="s">
        <v>64</v>
      </c>
      <c r="J29" s="3" t="s">
        <v>64</v>
      </c>
      <c r="K29" s="3" t="s">
        <v>64</v>
      </c>
      <c r="L29" s="3" t="s">
        <v>64</v>
      </c>
      <c r="M29" s="3" t="s">
        <v>64</v>
      </c>
      <c r="N29" s="3" t="s">
        <v>64</v>
      </c>
      <c r="O29" s="3" t="s">
        <v>64</v>
      </c>
      <c r="P29" s="9"/>
    </row>
    <row r="30" spans="1:40">
      <c r="P30" s="9"/>
    </row>
    <row r="31" spans="1:40" ht="57">
      <c r="A31" s="2" t="s">
        <v>27</v>
      </c>
      <c r="B31" s="2" t="s">
        <v>80</v>
      </c>
      <c r="C31" s="2" t="s">
        <v>50</v>
      </c>
      <c r="D31" s="2" t="s">
        <v>41</v>
      </c>
      <c r="E31" s="2" t="s">
        <v>51</v>
      </c>
      <c r="F31" s="2" t="s">
        <v>42</v>
      </c>
      <c r="G31" s="2">
        <v>0</v>
      </c>
      <c r="H31" s="3">
        <v>0</v>
      </c>
      <c r="I31" s="3">
        <v>0</v>
      </c>
      <c r="J31" s="15">
        <v>1</v>
      </c>
      <c r="K31" s="15">
        <v>1</v>
      </c>
      <c r="L31" s="15">
        <v>0</v>
      </c>
      <c r="M31" s="11">
        <v>1</v>
      </c>
      <c r="N31" s="11">
        <v>1</v>
      </c>
      <c r="O31" s="11">
        <v>0</v>
      </c>
      <c r="P31" s="9" t="str">
        <f>BIN2HEX(""&amp;H31&amp;I31&amp;J31&amp;K31&amp;L31&amp;M31&amp;N31&amp;O31,2)</f>
        <v>36</v>
      </c>
      <c r="Q31" s="2">
        <v>3</v>
      </c>
      <c r="R31" s="2" t="s">
        <v>81</v>
      </c>
      <c r="T31" s="2" t="s">
        <v>82</v>
      </c>
      <c r="U31" s="12" t="s">
        <v>53</v>
      </c>
      <c r="V31" s="4" t="str">
        <f>$V$6</f>
        <v>PC.OE, ABUF.L, INC2.P, INC2.L</v>
      </c>
      <c r="W31" s="4" t="str">
        <f>$W$6</f>
        <v>INC2.P, INC2.OE, PC.L.INC2, DBUF.L.IN</v>
      </c>
      <c r="X31" s="4" t="str">
        <f>$X$6</f>
        <v>DBUF.L.IN, INSTR.L</v>
      </c>
      <c r="Y31" s="4" t="s">
        <v>45</v>
      </c>
      <c r="Z31" s="4" t="s">
        <v>46</v>
      </c>
      <c r="AA31" s="4" t="s">
        <v>35</v>
      </c>
      <c r="AB31" s="4" t="s">
        <v>36</v>
      </c>
      <c r="AC31" s="4" t="s">
        <v>61</v>
      </c>
      <c r="AD31" s="4" t="s">
        <v>46</v>
      </c>
      <c r="AE31" s="4" t="s">
        <v>46</v>
      </c>
      <c r="AF31" s="4" t="s">
        <v>83</v>
      </c>
      <c r="AG31" s="4" t="s">
        <v>84</v>
      </c>
      <c r="AH31" s="4" t="s">
        <v>85</v>
      </c>
      <c r="AI31" s="4" t="s">
        <v>46</v>
      </c>
    </row>
    <row r="32" spans="1:40">
      <c r="H32" s="3" t="s">
        <v>48</v>
      </c>
      <c r="I32" s="3" t="s">
        <v>48</v>
      </c>
      <c r="J32" s="3" t="s">
        <v>48</v>
      </c>
      <c r="K32" s="3" t="s">
        <v>48</v>
      </c>
      <c r="L32" s="3" t="s">
        <v>48</v>
      </c>
      <c r="M32" s="3" t="s">
        <v>48</v>
      </c>
      <c r="N32" s="3" t="s">
        <v>48</v>
      </c>
      <c r="O32" s="3" t="s">
        <v>48</v>
      </c>
      <c r="P32" s="9"/>
    </row>
    <row r="33" spans="1:46">
      <c r="P33" s="9"/>
    </row>
    <row r="34" spans="1:46" ht="57">
      <c r="A34" s="2" t="s">
        <v>27</v>
      </c>
      <c r="B34" s="2" t="s">
        <v>86</v>
      </c>
      <c r="C34" s="2" t="s">
        <v>57</v>
      </c>
      <c r="D34" s="2" t="s">
        <v>41</v>
      </c>
      <c r="E34" s="2" t="s">
        <v>45</v>
      </c>
      <c r="F34" s="2" t="s">
        <v>42</v>
      </c>
      <c r="G34" s="2">
        <v>0</v>
      </c>
      <c r="H34" s="3">
        <v>1</v>
      </c>
      <c r="I34" s="3">
        <v>1</v>
      </c>
      <c r="J34" s="13">
        <v>0</v>
      </c>
      <c r="K34" s="3">
        <v>1</v>
      </c>
      <c r="L34" s="3">
        <v>1</v>
      </c>
      <c r="M34" s="3">
        <v>1</v>
      </c>
      <c r="N34" s="3">
        <v>0</v>
      </c>
      <c r="O34" s="3">
        <v>1</v>
      </c>
      <c r="P34" s="9" t="str">
        <f>BIN2HEX(""&amp;H34&amp;I34&amp;J34&amp;K34&amp;L34&amp;M34&amp;N34&amp;O34,2)</f>
        <v>DD</v>
      </c>
      <c r="Q34" s="2">
        <v>5</v>
      </c>
      <c r="R34" s="2" t="s">
        <v>58</v>
      </c>
      <c r="T34" s="2" t="s">
        <v>87</v>
      </c>
      <c r="V34" s="4" t="str">
        <f>$V$6</f>
        <v>PC.OE, ABUF.L, INC2.P, INC2.L</v>
      </c>
      <c r="W34" s="4" t="str">
        <f>$W$6</f>
        <v>INC2.P, INC2.OE, PC.L.INC2, DBUF.L.IN</v>
      </c>
      <c r="X34" s="4" t="str">
        <f>$X$6</f>
        <v>DBUF.L.IN, INSTR.L</v>
      </c>
      <c r="Y34" s="4" t="s">
        <v>45</v>
      </c>
      <c r="Z34" s="4" t="s">
        <v>46</v>
      </c>
      <c r="AA34" s="4" t="s">
        <v>35</v>
      </c>
      <c r="AB34" s="4" t="s">
        <v>36</v>
      </c>
      <c r="AC34" s="4" t="s">
        <v>37</v>
      </c>
      <c r="AD34" s="4" t="s">
        <v>45</v>
      </c>
      <c r="AE34" s="4" t="s">
        <v>46</v>
      </c>
      <c r="AF34" s="4" t="s">
        <v>35</v>
      </c>
      <c r="AG34" s="4" t="s">
        <v>36</v>
      </c>
      <c r="AH34" s="4" t="s">
        <v>88</v>
      </c>
      <c r="AI34" s="4" t="s">
        <v>46</v>
      </c>
      <c r="AJ34" s="4" t="s">
        <v>46</v>
      </c>
      <c r="AK34" s="4" t="s">
        <v>35</v>
      </c>
      <c r="AL34" s="4" t="s">
        <v>36</v>
      </c>
      <c r="AM34" s="4" t="s">
        <v>61</v>
      </c>
      <c r="AN34" s="18" t="s">
        <v>46</v>
      </c>
      <c r="AO34" s="4" t="s">
        <v>46</v>
      </c>
      <c r="AP34" s="4" t="s">
        <v>89</v>
      </c>
      <c r="AQ34" s="4" t="s">
        <v>84</v>
      </c>
      <c r="AR34" s="4" t="s">
        <v>85</v>
      </c>
      <c r="AS34" s="18" t="s">
        <v>46</v>
      </c>
      <c r="AT34" s="4" t="s">
        <v>46</v>
      </c>
    </row>
    <row r="35" spans="1:46">
      <c r="G35" s="2">
        <v>1</v>
      </c>
      <c r="H35" s="3">
        <v>0</v>
      </c>
      <c r="I35" s="3">
        <v>0</v>
      </c>
      <c r="J35" s="15">
        <v>1</v>
      </c>
      <c r="K35" s="15">
        <v>1</v>
      </c>
      <c r="L35" s="15">
        <v>0</v>
      </c>
      <c r="M35" s="3">
        <v>1</v>
      </c>
      <c r="N35" s="3">
        <v>1</v>
      </c>
      <c r="O35" s="3">
        <v>0</v>
      </c>
      <c r="P35" s="9" t="str">
        <f>BIN2HEX(""&amp;H35&amp;I35&amp;J35&amp;K35&amp;L35&amp;M35&amp;N35&amp;O35,2)</f>
        <v>36</v>
      </c>
    </row>
    <row r="36" spans="1:46">
      <c r="G36" s="2">
        <v>2</v>
      </c>
      <c r="H36" s="3" t="s">
        <v>64</v>
      </c>
      <c r="I36" s="3" t="s">
        <v>64</v>
      </c>
      <c r="J36" s="3" t="s">
        <v>64</v>
      </c>
      <c r="K36" s="3" t="s">
        <v>64</v>
      </c>
      <c r="L36" s="3" t="s">
        <v>64</v>
      </c>
      <c r="M36" s="3" t="s">
        <v>64</v>
      </c>
      <c r="N36" s="3" t="s">
        <v>64</v>
      </c>
      <c r="O36" s="3" t="s">
        <v>64</v>
      </c>
      <c r="P36" s="9"/>
    </row>
    <row r="37" spans="1:46">
      <c r="G37" s="2">
        <v>3</v>
      </c>
      <c r="H37" s="3" t="s">
        <v>48</v>
      </c>
      <c r="I37" s="3" t="s">
        <v>48</v>
      </c>
      <c r="J37" s="3" t="s">
        <v>48</v>
      </c>
      <c r="K37" s="3" t="s">
        <v>48</v>
      </c>
      <c r="L37" s="3" t="s">
        <v>48</v>
      </c>
      <c r="M37" s="3" t="s">
        <v>48</v>
      </c>
      <c r="N37" s="3" t="s">
        <v>48</v>
      </c>
      <c r="O37" s="3" t="s">
        <v>48</v>
      </c>
      <c r="P37" s="9"/>
    </row>
    <row r="38" spans="1:46">
      <c r="P38" s="9"/>
    </row>
    <row r="39" spans="1:46" ht="57">
      <c r="A39" s="2" t="s">
        <v>27</v>
      </c>
      <c r="B39" s="2" t="s">
        <v>90</v>
      </c>
      <c r="C39" s="2" t="s">
        <v>66</v>
      </c>
      <c r="D39" s="2" t="s">
        <v>41</v>
      </c>
      <c r="E39" s="2" t="s">
        <v>45</v>
      </c>
      <c r="F39" s="2" t="s">
        <v>42</v>
      </c>
      <c r="G39" s="2">
        <v>0</v>
      </c>
      <c r="H39" s="3">
        <v>1</v>
      </c>
      <c r="I39" s="3">
        <v>1</v>
      </c>
      <c r="J39" s="13">
        <v>1</v>
      </c>
      <c r="K39" s="3">
        <v>1</v>
      </c>
      <c r="L39" s="3">
        <v>1</v>
      </c>
      <c r="M39" s="3">
        <v>1</v>
      </c>
      <c r="N39" s="3">
        <v>0</v>
      </c>
      <c r="O39" s="3">
        <v>1</v>
      </c>
      <c r="P39" s="9" t="str">
        <f>BIN2HEX(""&amp;H39&amp;I39&amp;J39&amp;K39&amp;L39&amp;M39&amp;N39&amp;O39,2)</f>
        <v>FD</v>
      </c>
      <c r="Q39" s="2">
        <v>5</v>
      </c>
      <c r="R39" s="2" t="s">
        <v>58</v>
      </c>
      <c r="T39" s="2" t="s">
        <v>91</v>
      </c>
      <c r="V39" s="4" t="str">
        <f>$V$6</f>
        <v>PC.OE, ABUF.L, INC2.P, INC2.L</v>
      </c>
      <c r="W39" s="4" t="str">
        <f>$W$6</f>
        <v>INC2.P, INC2.OE, PC.L.INC2, DBUF.L.IN</v>
      </c>
      <c r="X39" s="4" t="str">
        <f>$X$6</f>
        <v>DBUF.L.IN, INSTR.L</v>
      </c>
      <c r="Y39" s="4" t="s">
        <v>45</v>
      </c>
      <c r="Z39" s="4" t="s">
        <v>46</v>
      </c>
      <c r="AA39" s="4" t="s">
        <v>35</v>
      </c>
      <c r="AB39" s="4" t="s">
        <v>36</v>
      </c>
      <c r="AC39" s="4" t="s">
        <v>37</v>
      </c>
      <c r="AD39" s="4" t="s">
        <v>45</v>
      </c>
      <c r="AE39" s="4" t="s">
        <v>46</v>
      </c>
      <c r="AF39" s="4" t="s">
        <v>35</v>
      </c>
      <c r="AG39" s="4" t="s">
        <v>36</v>
      </c>
      <c r="AH39" s="4" t="s">
        <v>92</v>
      </c>
      <c r="AI39" s="4" t="s">
        <v>46</v>
      </c>
      <c r="AJ39" s="4" t="s">
        <v>46</v>
      </c>
      <c r="AK39" s="4" t="s">
        <v>35</v>
      </c>
      <c r="AL39" s="4" t="s">
        <v>36</v>
      </c>
      <c r="AM39" s="4" t="s">
        <v>61</v>
      </c>
      <c r="AN39" s="18" t="s">
        <v>46</v>
      </c>
      <c r="AO39" s="4" t="s">
        <v>46</v>
      </c>
      <c r="AP39" s="4" t="s">
        <v>89</v>
      </c>
      <c r="AQ39" s="4" t="s">
        <v>84</v>
      </c>
      <c r="AR39" s="4" t="s">
        <v>85</v>
      </c>
      <c r="AS39" s="18" t="s">
        <v>46</v>
      </c>
      <c r="AT39" s="4" t="s">
        <v>46</v>
      </c>
    </row>
    <row r="40" spans="1:46">
      <c r="G40" s="2">
        <v>1</v>
      </c>
      <c r="H40" s="3">
        <v>0</v>
      </c>
      <c r="I40" s="3">
        <v>0</v>
      </c>
      <c r="J40" s="15">
        <v>1</v>
      </c>
      <c r="K40" s="15">
        <v>1</v>
      </c>
      <c r="L40" s="15">
        <v>0</v>
      </c>
      <c r="M40" s="3">
        <v>1</v>
      </c>
      <c r="N40" s="3">
        <v>1</v>
      </c>
      <c r="O40" s="3">
        <v>0</v>
      </c>
      <c r="P40" s="9" t="str">
        <f>BIN2HEX(""&amp;H40&amp;I40&amp;J40&amp;K40&amp;L40&amp;M40&amp;N40&amp;O40,2)</f>
        <v>36</v>
      </c>
    </row>
    <row r="41" spans="1:46">
      <c r="G41" s="2">
        <v>2</v>
      </c>
      <c r="H41" s="3" t="s">
        <v>64</v>
      </c>
      <c r="I41" s="3" t="s">
        <v>64</v>
      </c>
      <c r="J41" s="3" t="s">
        <v>64</v>
      </c>
      <c r="K41" s="3" t="s">
        <v>64</v>
      </c>
      <c r="L41" s="3" t="s">
        <v>64</v>
      </c>
      <c r="M41" s="3" t="s">
        <v>64</v>
      </c>
      <c r="N41" s="3" t="s">
        <v>64</v>
      </c>
      <c r="O41" s="3" t="s">
        <v>64</v>
      </c>
      <c r="P41" s="9"/>
    </row>
    <row r="42" spans="1:46">
      <c r="G42" s="2">
        <v>3</v>
      </c>
      <c r="H42" s="3" t="s">
        <v>48</v>
      </c>
      <c r="I42" s="3" t="s">
        <v>48</v>
      </c>
      <c r="J42" s="3" t="s">
        <v>48</v>
      </c>
      <c r="K42" s="3" t="s">
        <v>48</v>
      </c>
      <c r="L42" s="3" t="s">
        <v>48</v>
      </c>
      <c r="M42" s="3" t="s">
        <v>48</v>
      </c>
      <c r="N42" s="3" t="s">
        <v>48</v>
      </c>
      <c r="O42" s="3" t="s">
        <v>48</v>
      </c>
      <c r="P42" s="9"/>
    </row>
    <row r="43" spans="1:46">
      <c r="P43" s="9"/>
    </row>
    <row r="44" spans="1:46" ht="57">
      <c r="A44" s="2" t="s">
        <v>27</v>
      </c>
      <c r="B44" s="2" t="s">
        <v>93</v>
      </c>
      <c r="C44" s="2" t="s">
        <v>94</v>
      </c>
      <c r="D44" s="2" t="s">
        <v>95</v>
      </c>
      <c r="E44" s="2" t="s">
        <v>31</v>
      </c>
      <c r="F44" s="2" t="s">
        <v>51</v>
      </c>
      <c r="G44" s="2">
        <v>0</v>
      </c>
      <c r="H44" s="3">
        <v>0</v>
      </c>
      <c r="I44" s="3">
        <v>0</v>
      </c>
      <c r="J44" s="3">
        <v>0</v>
      </c>
      <c r="K44" s="19">
        <v>0</v>
      </c>
      <c r="L44" s="20">
        <v>1</v>
      </c>
      <c r="M44" s="3">
        <v>0</v>
      </c>
      <c r="N44" s="3">
        <v>1</v>
      </c>
      <c r="O44" s="3">
        <v>0</v>
      </c>
      <c r="P44" s="9" t="str">
        <f>BIN2HEX(""&amp;H44&amp;I44&amp;J44&amp;K44&amp;L44&amp;M44&amp;N44&amp;O44,2)</f>
        <v>0A</v>
      </c>
      <c r="Q44" s="2">
        <v>2</v>
      </c>
      <c r="R44" s="2" t="s">
        <v>43</v>
      </c>
      <c r="T44" s="2" t="s">
        <v>96</v>
      </c>
      <c r="U44" s="21" t="s">
        <v>97</v>
      </c>
      <c r="V44" s="4" t="str">
        <f>$V$6</f>
        <v>PC.OE, ABUF.L, INC2.P, INC2.L</v>
      </c>
      <c r="W44" s="4" t="str">
        <f>$W$6</f>
        <v>INC2.P, INC2.OE, PC.L.INC2, DBUF.L.IN</v>
      </c>
      <c r="X44" s="4" t="str">
        <f>$X$6</f>
        <v>DBUF.L.IN, INSTR.L</v>
      </c>
      <c r="Y44" s="4" t="s">
        <v>45</v>
      </c>
      <c r="Z44" s="4" t="s">
        <v>46</v>
      </c>
      <c r="AA44" s="4" t="s">
        <v>98</v>
      </c>
      <c r="AB44" s="4" t="s">
        <v>55</v>
      </c>
      <c r="AC44" s="4" t="s">
        <v>99</v>
      </c>
      <c r="AD44" s="4" t="s">
        <v>46</v>
      </c>
      <c r="AE44" s="4" t="s">
        <v>46</v>
      </c>
    </row>
    <row r="45" spans="1:46">
      <c r="P45" s="9"/>
    </row>
    <row r="46" spans="1:46" ht="57">
      <c r="A46" s="2" t="s">
        <v>27</v>
      </c>
      <c r="B46" s="2" t="s">
        <v>100</v>
      </c>
      <c r="C46" s="2" t="s">
        <v>94</v>
      </c>
      <c r="D46" s="2" t="s">
        <v>101</v>
      </c>
      <c r="E46" s="2" t="s">
        <v>31</v>
      </c>
      <c r="F46" s="2" t="s">
        <v>51</v>
      </c>
      <c r="G46" s="2">
        <v>0</v>
      </c>
      <c r="H46" s="3">
        <v>0</v>
      </c>
      <c r="I46" s="3">
        <v>0</v>
      </c>
      <c r="J46" s="3">
        <v>0</v>
      </c>
      <c r="K46" s="19">
        <v>1</v>
      </c>
      <c r="L46" s="20">
        <v>1</v>
      </c>
      <c r="M46" s="3">
        <v>0</v>
      </c>
      <c r="N46" s="3">
        <v>1</v>
      </c>
      <c r="O46" s="3">
        <v>0</v>
      </c>
      <c r="P46" s="9" t="str">
        <f>BIN2HEX(""&amp;H46&amp;I46&amp;J46&amp;K46&amp;L46&amp;M46&amp;N46&amp;O46,2)</f>
        <v>1A</v>
      </c>
      <c r="Q46" s="2">
        <v>2</v>
      </c>
      <c r="R46" s="2" t="s">
        <v>43</v>
      </c>
      <c r="T46" s="2" t="s">
        <v>102</v>
      </c>
      <c r="U46" s="22" t="s">
        <v>103</v>
      </c>
      <c r="V46" s="4" t="str">
        <f>$V$6</f>
        <v>PC.OE, ABUF.L, INC2.P, INC2.L</v>
      </c>
      <c r="W46" s="4" t="str">
        <f>$W$6</f>
        <v>INC2.P, INC2.OE, PC.L.INC2, DBUF.L.IN</v>
      </c>
      <c r="X46" s="4" t="str">
        <f>$X$6</f>
        <v>DBUF.L.IN, INSTR.L</v>
      </c>
      <c r="Y46" s="4" t="s">
        <v>45</v>
      </c>
      <c r="Z46" s="4" t="s">
        <v>46</v>
      </c>
      <c r="AA46" s="4" t="s">
        <v>104</v>
      </c>
      <c r="AB46" s="4" t="s">
        <v>55</v>
      </c>
      <c r="AC46" s="4" t="s">
        <v>99</v>
      </c>
      <c r="AD46" s="4" t="s">
        <v>46</v>
      </c>
      <c r="AE46" s="4" t="s">
        <v>46</v>
      </c>
    </row>
    <row r="47" spans="1:46">
      <c r="P47" s="9"/>
    </row>
    <row r="48" spans="1:46" ht="57">
      <c r="A48" s="2" t="s">
        <v>27</v>
      </c>
      <c r="B48" s="2" t="s">
        <v>105</v>
      </c>
      <c r="C48" s="2" t="s">
        <v>94</v>
      </c>
      <c r="D48" s="2" t="s">
        <v>106</v>
      </c>
      <c r="E48" s="2" t="s">
        <v>31</v>
      </c>
      <c r="F48" s="2" t="s">
        <v>107</v>
      </c>
      <c r="G48" s="2">
        <v>0</v>
      </c>
      <c r="H48" s="3">
        <v>0</v>
      </c>
      <c r="I48" s="3">
        <v>0</v>
      </c>
      <c r="J48" s="3">
        <v>1</v>
      </c>
      <c r="K48" s="3">
        <v>1</v>
      </c>
      <c r="L48" s="20">
        <v>1</v>
      </c>
      <c r="M48" s="3">
        <v>0</v>
      </c>
      <c r="N48" s="3">
        <v>1</v>
      </c>
      <c r="O48" s="3">
        <v>0</v>
      </c>
      <c r="P48" s="9" t="str">
        <f>BIN2HEX(""&amp;H48&amp;I48&amp;J48&amp;K48&amp;L48&amp;M48&amp;N48&amp;O48,2)</f>
        <v>3A</v>
      </c>
      <c r="Q48" s="2">
        <v>4</v>
      </c>
      <c r="R48" s="2" t="s">
        <v>108</v>
      </c>
      <c r="T48" s="2" t="s">
        <v>109</v>
      </c>
      <c r="V48" s="4" t="str">
        <f>$V$6</f>
        <v>PC.OE, ABUF.L, INC2.P, INC2.L</v>
      </c>
      <c r="W48" s="4" t="str">
        <f>$W$6</f>
        <v>INC2.P, INC2.OE, PC.L.INC2, DBUF.L.IN</v>
      </c>
      <c r="X48" s="4" t="str">
        <f>$X$6</f>
        <v>DBUF.L.IN, INSTR.L</v>
      </c>
      <c r="Y48" s="4" t="s">
        <v>45</v>
      </c>
      <c r="Z48" s="4" t="s">
        <v>46</v>
      </c>
      <c r="AA48" s="4" t="s">
        <v>35</v>
      </c>
      <c r="AB48" s="4" t="s">
        <v>36</v>
      </c>
      <c r="AC48" s="4" t="s">
        <v>61</v>
      </c>
      <c r="AD48" s="4" t="s">
        <v>46</v>
      </c>
      <c r="AE48" s="4" t="s">
        <v>46</v>
      </c>
      <c r="AF48" s="4" t="s">
        <v>35</v>
      </c>
      <c r="AG48" s="4" t="s">
        <v>36</v>
      </c>
      <c r="AH48" s="4" t="s">
        <v>110</v>
      </c>
      <c r="AI48" s="18" t="s">
        <v>46</v>
      </c>
      <c r="AJ48" s="4" t="s">
        <v>46</v>
      </c>
      <c r="AK48" s="4" t="s">
        <v>111</v>
      </c>
      <c r="AL48" s="4" t="s">
        <v>112</v>
      </c>
      <c r="AM48" s="4" t="s">
        <v>55</v>
      </c>
      <c r="AN48" s="4" t="s">
        <v>99</v>
      </c>
      <c r="AO48" s="4" t="s">
        <v>46</v>
      </c>
      <c r="AP48"/>
      <c r="AQ48"/>
      <c r="AR48"/>
      <c r="AS48"/>
      <c r="AT48"/>
    </row>
    <row r="49" spans="1:41">
      <c r="G49" s="2">
        <v>1</v>
      </c>
      <c r="H49" s="3" t="s">
        <v>48</v>
      </c>
      <c r="I49" s="3" t="s">
        <v>48</v>
      </c>
      <c r="J49" s="3" t="s">
        <v>48</v>
      </c>
      <c r="K49" s="3" t="s">
        <v>48</v>
      </c>
      <c r="L49" s="3" t="s">
        <v>48</v>
      </c>
      <c r="M49" s="3" t="s">
        <v>48</v>
      </c>
      <c r="N49" s="3" t="s">
        <v>48</v>
      </c>
      <c r="O49" s="3" t="s">
        <v>48</v>
      </c>
      <c r="P49" s="9"/>
    </row>
    <row r="50" spans="1:41">
      <c r="G50" s="2">
        <v>2</v>
      </c>
      <c r="H50" s="3" t="s">
        <v>48</v>
      </c>
      <c r="I50" s="3" t="s">
        <v>48</v>
      </c>
      <c r="J50" s="3" t="s">
        <v>48</v>
      </c>
      <c r="K50" s="3" t="s">
        <v>48</v>
      </c>
      <c r="L50" s="3" t="s">
        <v>48</v>
      </c>
      <c r="M50" s="3" t="s">
        <v>48</v>
      </c>
      <c r="N50" s="3" t="s">
        <v>48</v>
      </c>
      <c r="O50" s="3" t="s">
        <v>48</v>
      </c>
      <c r="P50" s="9"/>
    </row>
    <row r="51" spans="1:41">
      <c r="P51" s="9"/>
    </row>
    <row r="52" spans="1:41" ht="57">
      <c r="A52" s="2" t="s">
        <v>27</v>
      </c>
      <c r="B52" s="2" t="s">
        <v>113</v>
      </c>
      <c r="C52" s="2" t="s">
        <v>95</v>
      </c>
      <c r="D52" s="2" t="s">
        <v>94</v>
      </c>
      <c r="E52" s="2" t="s">
        <v>51</v>
      </c>
      <c r="F52" s="2" t="s">
        <v>31</v>
      </c>
      <c r="G52" s="2">
        <v>0</v>
      </c>
      <c r="H52" s="3">
        <v>0</v>
      </c>
      <c r="I52" s="3">
        <v>0</v>
      </c>
      <c r="J52" s="3">
        <v>0</v>
      </c>
      <c r="K52" s="19">
        <v>0</v>
      </c>
      <c r="L52" s="20">
        <v>0</v>
      </c>
      <c r="M52" s="3">
        <v>0</v>
      </c>
      <c r="N52" s="3">
        <v>1</v>
      </c>
      <c r="O52" s="3">
        <v>0</v>
      </c>
      <c r="P52" s="9" t="str">
        <f>BIN2HEX(""&amp;H52&amp;I52&amp;J52&amp;K52&amp;L52&amp;M52&amp;N52&amp;O52,2)</f>
        <v>02</v>
      </c>
      <c r="Q52" s="2">
        <v>2</v>
      </c>
      <c r="R52" s="2" t="s">
        <v>43</v>
      </c>
      <c r="T52" s="2" t="s">
        <v>114</v>
      </c>
      <c r="V52" s="4" t="str">
        <f>$V$6</f>
        <v>PC.OE, ABUF.L, INC2.P, INC2.L</v>
      </c>
      <c r="W52" s="4" t="str">
        <f>$W$6</f>
        <v>INC2.P, INC2.OE, PC.L.INC2, DBUF.L.IN</v>
      </c>
      <c r="X52" s="4" t="str">
        <f>$X$6</f>
        <v>DBUF.L.IN, INSTR.L</v>
      </c>
      <c r="Y52" s="4" t="s">
        <v>45</v>
      </c>
      <c r="Z52" s="4" t="s">
        <v>46</v>
      </c>
      <c r="AA52" s="4" t="s">
        <v>98</v>
      </c>
      <c r="AB52" s="4" t="s">
        <v>115</v>
      </c>
      <c r="AC52" s="4" t="s">
        <v>116</v>
      </c>
      <c r="AD52" s="4" t="s">
        <v>46</v>
      </c>
      <c r="AE52" s="4" t="s">
        <v>46</v>
      </c>
    </row>
    <row r="53" spans="1:41">
      <c r="P53" s="9"/>
    </row>
    <row r="54" spans="1:41" ht="57">
      <c r="A54" s="2" t="s">
        <v>27</v>
      </c>
      <c r="B54" s="2" t="s">
        <v>117</v>
      </c>
      <c r="C54" s="2" t="s">
        <v>101</v>
      </c>
      <c r="D54" s="2" t="s">
        <v>94</v>
      </c>
      <c r="E54" s="2" t="s">
        <v>51</v>
      </c>
      <c r="F54" s="2" t="s">
        <v>31</v>
      </c>
      <c r="G54" s="2">
        <v>0</v>
      </c>
      <c r="H54" s="3">
        <v>0</v>
      </c>
      <c r="I54" s="3">
        <v>0</v>
      </c>
      <c r="J54" s="3">
        <v>0</v>
      </c>
      <c r="K54" s="19">
        <v>1</v>
      </c>
      <c r="L54" s="20">
        <v>0</v>
      </c>
      <c r="M54" s="3">
        <v>0</v>
      </c>
      <c r="N54" s="3">
        <v>1</v>
      </c>
      <c r="O54" s="3">
        <v>0</v>
      </c>
      <c r="P54" s="9" t="str">
        <f>BIN2HEX(""&amp;H54&amp;I54&amp;J54&amp;K54&amp;L54&amp;M54&amp;N54&amp;O54,2)</f>
        <v>12</v>
      </c>
      <c r="Q54" s="2">
        <v>2</v>
      </c>
      <c r="R54" s="2" t="s">
        <v>43</v>
      </c>
      <c r="T54" s="2" t="s">
        <v>118</v>
      </c>
      <c r="V54" s="4" t="str">
        <f>$V$6</f>
        <v>PC.OE, ABUF.L, INC2.P, INC2.L</v>
      </c>
      <c r="W54" s="4" t="str">
        <f>$W$6</f>
        <v>INC2.P, INC2.OE, PC.L.INC2, DBUF.L.IN</v>
      </c>
      <c r="X54" s="4" t="str">
        <f>$X$6</f>
        <v>DBUF.L.IN, INSTR.L</v>
      </c>
      <c r="Y54" s="4" t="s">
        <v>45</v>
      </c>
      <c r="Z54" s="4" t="s">
        <v>46</v>
      </c>
      <c r="AA54" s="4" t="s">
        <v>104</v>
      </c>
      <c r="AB54" s="4" t="s">
        <v>115</v>
      </c>
      <c r="AC54" s="4" t="s">
        <v>116</v>
      </c>
      <c r="AD54" s="4" t="s">
        <v>46</v>
      </c>
      <c r="AE54" s="4" t="s">
        <v>46</v>
      </c>
    </row>
    <row r="55" spans="1:41">
      <c r="P55" s="9"/>
    </row>
    <row r="56" spans="1:41" ht="57">
      <c r="A56" s="2" t="s">
        <v>27</v>
      </c>
      <c r="B56" s="2" t="s">
        <v>119</v>
      </c>
      <c r="C56" s="2" t="s">
        <v>106</v>
      </c>
      <c r="D56" s="2" t="s">
        <v>94</v>
      </c>
      <c r="E56" s="2" t="s">
        <v>107</v>
      </c>
      <c r="F56" s="2" t="s">
        <v>31</v>
      </c>
      <c r="G56" s="2">
        <v>0</v>
      </c>
      <c r="H56" s="3">
        <v>0</v>
      </c>
      <c r="I56" s="3">
        <v>0</v>
      </c>
      <c r="J56" s="3">
        <v>1</v>
      </c>
      <c r="K56" s="3">
        <v>1</v>
      </c>
      <c r="L56" s="20">
        <v>0</v>
      </c>
      <c r="M56" s="3">
        <v>0</v>
      </c>
      <c r="N56" s="3">
        <v>1</v>
      </c>
      <c r="O56" s="3">
        <v>0</v>
      </c>
      <c r="P56" s="9" t="str">
        <f>BIN2HEX(""&amp;H56&amp;I56&amp;J56&amp;K56&amp;L56&amp;M56&amp;N56&amp;O56,2)</f>
        <v>32</v>
      </c>
      <c r="Q56" s="2">
        <v>4</v>
      </c>
      <c r="R56" s="2" t="s">
        <v>108</v>
      </c>
      <c r="T56" s="2" t="s">
        <v>120</v>
      </c>
      <c r="V56" s="4" t="str">
        <f>$V$6</f>
        <v>PC.OE, ABUF.L, INC2.P, INC2.L</v>
      </c>
      <c r="W56" s="4" t="str">
        <f>$W$6</f>
        <v>INC2.P, INC2.OE, PC.L.INC2, DBUF.L.IN</v>
      </c>
      <c r="X56" s="4" t="str">
        <f>$X$6</f>
        <v>DBUF.L.IN, INSTR.L</v>
      </c>
      <c r="Y56" s="4" t="s">
        <v>45</v>
      </c>
      <c r="Z56" s="4" t="s">
        <v>46</v>
      </c>
      <c r="AA56" s="4" t="s">
        <v>35</v>
      </c>
      <c r="AB56" s="4" t="s">
        <v>36</v>
      </c>
      <c r="AC56" s="4" t="s">
        <v>61</v>
      </c>
      <c r="AD56" s="4" t="s">
        <v>46</v>
      </c>
      <c r="AE56" s="4" t="s">
        <v>46</v>
      </c>
      <c r="AF56" s="4" t="s">
        <v>35</v>
      </c>
      <c r="AG56" s="4" t="s">
        <v>36</v>
      </c>
      <c r="AH56" s="4" t="s">
        <v>110</v>
      </c>
      <c r="AI56" s="18" t="s">
        <v>46</v>
      </c>
      <c r="AJ56" s="4" t="s">
        <v>46</v>
      </c>
      <c r="AK56" s="4" t="s">
        <v>111</v>
      </c>
      <c r="AL56" s="4" t="s">
        <v>112</v>
      </c>
      <c r="AM56" s="4" t="s">
        <v>115</v>
      </c>
      <c r="AN56" s="4" t="s">
        <v>116</v>
      </c>
      <c r="AO56" s="4" t="s">
        <v>46</v>
      </c>
    </row>
    <row r="57" spans="1:41">
      <c r="G57" s="2">
        <v>1</v>
      </c>
      <c r="H57" s="3" t="s">
        <v>48</v>
      </c>
      <c r="I57" s="3" t="s">
        <v>48</v>
      </c>
      <c r="J57" s="3" t="s">
        <v>48</v>
      </c>
      <c r="K57" s="3" t="s">
        <v>48</v>
      </c>
      <c r="L57" s="3" t="s">
        <v>48</v>
      </c>
      <c r="M57" s="3" t="s">
        <v>48</v>
      </c>
      <c r="N57" s="3" t="s">
        <v>48</v>
      </c>
      <c r="O57" s="3" t="s">
        <v>48</v>
      </c>
      <c r="P57" s="9"/>
    </row>
    <row r="58" spans="1:41">
      <c r="G58" s="2">
        <v>2</v>
      </c>
      <c r="H58" s="3" t="s">
        <v>48</v>
      </c>
      <c r="I58" s="3" t="s">
        <v>48</v>
      </c>
      <c r="J58" s="3" t="s">
        <v>48</v>
      </c>
      <c r="K58" s="3" t="s">
        <v>48</v>
      </c>
      <c r="L58" s="3" t="s">
        <v>48</v>
      </c>
      <c r="M58" s="3" t="s">
        <v>48</v>
      </c>
      <c r="N58" s="3" t="s">
        <v>48</v>
      </c>
      <c r="O58" s="3" t="s">
        <v>48</v>
      </c>
      <c r="P58" s="9"/>
    </row>
    <row r="59" spans="1:41">
      <c r="P59" s="9"/>
    </row>
    <row r="60" spans="1:41" ht="57">
      <c r="A60" s="2" t="s">
        <v>27</v>
      </c>
      <c r="B60" s="2" t="s">
        <v>121</v>
      </c>
      <c r="C60" s="2" t="s">
        <v>94</v>
      </c>
      <c r="D60" s="2" t="s">
        <v>42</v>
      </c>
      <c r="E60" s="2" t="s">
        <v>31</v>
      </c>
      <c r="F60" s="2" t="s">
        <v>31</v>
      </c>
      <c r="G60" s="2">
        <v>0</v>
      </c>
      <c r="H60" s="3">
        <v>1</v>
      </c>
      <c r="I60" s="3">
        <v>1</v>
      </c>
      <c r="J60" s="3">
        <v>1</v>
      </c>
      <c r="K60" s="3">
        <v>0</v>
      </c>
      <c r="L60" s="3">
        <v>1</v>
      </c>
      <c r="M60" s="3">
        <v>1</v>
      </c>
      <c r="N60" s="3">
        <v>0</v>
      </c>
      <c r="O60" s="3">
        <v>1</v>
      </c>
      <c r="P60" s="9" t="str">
        <f>BIN2HEX(""&amp;H60&amp;I60&amp;J60&amp;K60&amp;L60&amp;M60&amp;N60&amp;O60,2)</f>
        <v>ED</v>
      </c>
      <c r="Q60" s="2">
        <v>2</v>
      </c>
      <c r="R60" s="2" t="s">
        <v>122</v>
      </c>
      <c r="S60" s="2" t="s">
        <v>123</v>
      </c>
      <c r="T60" s="2" t="s">
        <v>124</v>
      </c>
      <c r="V60" s="4" t="str">
        <f>$V$6</f>
        <v>PC.OE, ABUF.L, INC2.P, INC2.L</v>
      </c>
      <c r="W60" s="4" t="str">
        <f>$W$6</f>
        <v>INC2.P, INC2.OE, PC.L.INC2, DBUF.L.IN</v>
      </c>
      <c r="X60" s="4" t="str">
        <f>$X$6</f>
        <v>DBUF.L.IN, INSTR.L</v>
      </c>
      <c r="Y60" s="4" t="s">
        <v>45</v>
      </c>
      <c r="Z60" s="4" t="s">
        <v>46</v>
      </c>
      <c r="AA60" s="4" t="s">
        <v>35</v>
      </c>
      <c r="AB60" s="4" t="s">
        <v>36</v>
      </c>
      <c r="AC60" s="4" t="s">
        <v>37</v>
      </c>
      <c r="AD60" s="18" t="s">
        <v>45</v>
      </c>
      <c r="AE60" s="4" t="s">
        <v>125</v>
      </c>
    </row>
    <row r="61" spans="1:41">
      <c r="G61" s="2">
        <v>1</v>
      </c>
      <c r="H61" s="3">
        <v>0</v>
      </c>
      <c r="I61" s="3">
        <v>1</v>
      </c>
      <c r="J61" s="3">
        <v>0</v>
      </c>
      <c r="K61" s="3">
        <v>1</v>
      </c>
      <c r="L61" s="23">
        <v>0</v>
      </c>
      <c r="M61" s="3">
        <v>1</v>
      </c>
      <c r="N61" s="3">
        <v>1</v>
      </c>
      <c r="O61" s="3">
        <v>1</v>
      </c>
      <c r="P61" s="9" t="str">
        <f>BIN2HEX(""&amp;H61&amp;I61&amp;J61&amp;K61&amp;L61&amp;M61&amp;N61&amp;O61,2)</f>
        <v>57</v>
      </c>
      <c r="U61" s="24" t="s">
        <v>126</v>
      </c>
      <c r="AA61"/>
      <c r="AB61"/>
      <c r="AD61" s="18"/>
    </row>
    <row r="62" spans="1:41">
      <c r="P62" s="9"/>
      <c r="AD62" s="18"/>
    </row>
    <row r="63" spans="1:41" ht="57">
      <c r="A63" s="2" t="s">
        <v>27</v>
      </c>
      <c r="B63" s="2" t="s">
        <v>127</v>
      </c>
      <c r="C63" s="2" t="s">
        <v>94</v>
      </c>
      <c r="D63" s="2" t="s">
        <v>31</v>
      </c>
      <c r="E63" s="2" t="s">
        <v>31</v>
      </c>
      <c r="F63" s="2" t="s">
        <v>31</v>
      </c>
      <c r="G63" s="2">
        <v>0</v>
      </c>
      <c r="H63" s="3">
        <v>1</v>
      </c>
      <c r="I63" s="3">
        <v>1</v>
      </c>
      <c r="J63" s="3">
        <v>1</v>
      </c>
      <c r="K63" s="3">
        <v>0</v>
      </c>
      <c r="L63" s="3">
        <v>1</v>
      </c>
      <c r="M63" s="3">
        <v>1</v>
      </c>
      <c r="N63" s="3">
        <v>0</v>
      </c>
      <c r="O63" s="3">
        <v>1</v>
      </c>
      <c r="P63" s="9" t="str">
        <f>BIN2HEX(""&amp;H63&amp;I63&amp;J63&amp;K63&amp;L63&amp;M63&amp;N63&amp;O63,2)</f>
        <v>ED</v>
      </c>
      <c r="Q63" s="2">
        <v>2</v>
      </c>
      <c r="R63" s="2" t="s">
        <v>122</v>
      </c>
      <c r="S63" s="2" t="s">
        <v>123</v>
      </c>
      <c r="T63" s="2" t="s">
        <v>128</v>
      </c>
      <c r="V63" s="4" t="str">
        <f>$V$6</f>
        <v>PC.OE, ABUF.L, INC2.P, INC2.L</v>
      </c>
      <c r="W63" s="4" t="str">
        <f>$W$6</f>
        <v>INC2.P, INC2.OE, PC.L.INC2, DBUF.L.IN</v>
      </c>
      <c r="X63" s="4" t="str">
        <f>$X$6</f>
        <v>DBUF.L.IN, INSTR.L</v>
      </c>
      <c r="Y63" s="4" t="s">
        <v>45</v>
      </c>
      <c r="Z63" s="4" t="s">
        <v>46</v>
      </c>
      <c r="AA63" s="4" t="s">
        <v>35</v>
      </c>
      <c r="AB63" s="4" t="s">
        <v>36</v>
      </c>
      <c r="AC63" s="4" t="s">
        <v>37</v>
      </c>
      <c r="AD63" s="18" t="s">
        <v>45</v>
      </c>
      <c r="AE63" s="4" t="s">
        <v>129</v>
      </c>
    </row>
    <row r="64" spans="1:41">
      <c r="G64" s="2">
        <v>1</v>
      </c>
      <c r="H64" s="3">
        <v>0</v>
      </c>
      <c r="I64" s="3">
        <v>1</v>
      </c>
      <c r="J64" s="3">
        <v>0</v>
      </c>
      <c r="K64" s="3">
        <v>1</v>
      </c>
      <c r="L64" s="23">
        <v>1</v>
      </c>
      <c r="M64" s="3">
        <v>1</v>
      </c>
      <c r="N64" s="3">
        <v>1</v>
      </c>
      <c r="O64" s="3">
        <v>1</v>
      </c>
      <c r="P64" s="9" t="str">
        <f>BIN2HEX(""&amp;H64&amp;I64&amp;J64&amp;K64&amp;L64&amp;M64&amp;N64&amp;O64,2)</f>
        <v>5F</v>
      </c>
      <c r="AD64" s="18"/>
    </row>
    <row r="65" spans="1:41">
      <c r="P65" s="9"/>
      <c r="AD65" s="18"/>
    </row>
    <row r="66" spans="1:41" ht="57">
      <c r="A66" s="2" t="s">
        <v>27</v>
      </c>
      <c r="B66" s="2" t="s">
        <v>130</v>
      </c>
      <c r="C66" s="2" t="s">
        <v>42</v>
      </c>
      <c r="D66" s="2" t="s">
        <v>94</v>
      </c>
      <c r="E66" s="2" t="s">
        <v>31</v>
      </c>
      <c r="F66" s="2" t="s">
        <v>31</v>
      </c>
      <c r="G66" s="2">
        <v>0</v>
      </c>
      <c r="H66" s="3">
        <v>1</v>
      </c>
      <c r="I66" s="3">
        <v>1</v>
      </c>
      <c r="J66" s="3">
        <v>1</v>
      </c>
      <c r="K66" s="3">
        <v>0</v>
      </c>
      <c r="L66" s="3">
        <v>1</v>
      </c>
      <c r="M66" s="3">
        <v>1</v>
      </c>
      <c r="N66" s="3">
        <v>0</v>
      </c>
      <c r="O66" s="3">
        <v>1</v>
      </c>
      <c r="P66" s="9" t="str">
        <f>BIN2HEX(""&amp;H66&amp;I66&amp;J66&amp;K66&amp;L66&amp;M66&amp;N66&amp;O66,2)</f>
        <v>ED</v>
      </c>
      <c r="Q66" s="2">
        <v>2</v>
      </c>
      <c r="R66" s="2" t="s">
        <v>122</v>
      </c>
      <c r="T66" s="25" t="s">
        <v>131</v>
      </c>
      <c r="V66" s="4" t="str">
        <f>$V$6</f>
        <v>PC.OE, ABUF.L, INC2.P, INC2.L</v>
      </c>
      <c r="W66" s="4" t="str">
        <f>$W$6</f>
        <v>INC2.P, INC2.OE, PC.L.INC2, DBUF.L.IN</v>
      </c>
      <c r="X66" s="4" t="str">
        <f>$X$6</f>
        <v>DBUF.L.IN, INSTR.L</v>
      </c>
      <c r="Y66" s="4" t="s">
        <v>45</v>
      </c>
      <c r="Z66" s="4" t="s">
        <v>46</v>
      </c>
      <c r="AA66" s="4" t="s">
        <v>35</v>
      </c>
      <c r="AB66" s="4" t="s">
        <v>36</v>
      </c>
      <c r="AC66" s="4" t="s">
        <v>37</v>
      </c>
      <c r="AD66" s="18" t="s">
        <v>45</v>
      </c>
      <c r="AE66" s="4" t="s">
        <v>132</v>
      </c>
    </row>
    <row r="67" spans="1:41">
      <c r="G67" s="2">
        <v>1</v>
      </c>
      <c r="H67" s="3">
        <v>0</v>
      </c>
      <c r="I67" s="3">
        <v>1</v>
      </c>
      <c r="J67" s="3">
        <v>0</v>
      </c>
      <c r="K67" s="3">
        <v>0</v>
      </c>
      <c r="L67" s="23">
        <v>0</v>
      </c>
      <c r="M67" s="3">
        <v>1</v>
      </c>
      <c r="N67" s="3">
        <v>1</v>
      </c>
      <c r="O67" s="3">
        <v>1</v>
      </c>
      <c r="P67" s="9" t="str">
        <f>BIN2HEX(""&amp;H67&amp;I67&amp;J67&amp;K67&amp;L67&amp;M67&amp;N67&amp;O67,2)</f>
        <v>47</v>
      </c>
    </row>
    <row r="68" spans="1:41">
      <c r="P68" s="9"/>
    </row>
    <row r="69" spans="1:41" ht="57">
      <c r="A69" s="2" t="s">
        <v>27</v>
      </c>
      <c r="B69" s="2" t="s">
        <v>133</v>
      </c>
      <c r="C69" s="2" t="s">
        <v>31</v>
      </c>
      <c r="D69" s="2" t="s">
        <v>94</v>
      </c>
      <c r="E69" s="2" t="s">
        <v>31</v>
      </c>
      <c r="F69" s="2" t="s">
        <v>31</v>
      </c>
      <c r="G69" s="2">
        <v>0</v>
      </c>
      <c r="H69" s="3">
        <v>1</v>
      </c>
      <c r="I69" s="3">
        <v>1</v>
      </c>
      <c r="J69" s="3">
        <v>1</v>
      </c>
      <c r="K69" s="3">
        <v>0</v>
      </c>
      <c r="L69" s="3">
        <v>1</v>
      </c>
      <c r="M69" s="3">
        <v>1</v>
      </c>
      <c r="N69" s="3">
        <v>0</v>
      </c>
      <c r="O69" s="3">
        <v>1</v>
      </c>
      <c r="P69" s="9" t="str">
        <f>BIN2HEX(""&amp;H69&amp;I69&amp;J69&amp;K69&amp;L69&amp;M69&amp;N69&amp;O69,2)</f>
        <v>ED</v>
      </c>
      <c r="Q69" s="2">
        <v>2</v>
      </c>
      <c r="R69" s="2" t="s">
        <v>122</v>
      </c>
      <c r="T69" s="25" t="s">
        <v>134</v>
      </c>
      <c r="V69" s="4" t="str">
        <f>$V$6</f>
        <v>PC.OE, ABUF.L, INC2.P, INC2.L</v>
      </c>
      <c r="W69" s="4" t="str">
        <f>$W$6</f>
        <v>INC2.P, INC2.OE, PC.L.INC2, DBUF.L.IN</v>
      </c>
      <c r="X69" s="4" t="str">
        <f>$X$6</f>
        <v>DBUF.L.IN, INSTR.L</v>
      </c>
      <c r="Y69" s="4" t="s">
        <v>45</v>
      </c>
      <c r="Z69" s="4" t="s">
        <v>46</v>
      </c>
      <c r="AA69" s="4" t="s">
        <v>35</v>
      </c>
      <c r="AB69" s="4" t="s">
        <v>36</v>
      </c>
      <c r="AC69" s="4" t="s">
        <v>37</v>
      </c>
      <c r="AD69" s="18" t="s">
        <v>45</v>
      </c>
      <c r="AE69" s="4" t="s">
        <v>135</v>
      </c>
    </row>
    <row r="70" spans="1:41">
      <c r="G70" s="2">
        <v>1</v>
      </c>
      <c r="H70" s="3">
        <v>0</v>
      </c>
      <c r="I70" s="3">
        <v>1</v>
      </c>
      <c r="J70" s="3">
        <v>0</v>
      </c>
      <c r="K70" s="3">
        <v>0</v>
      </c>
      <c r="L70" s="23">
        <v>1</v>
      </c>
      <c r="M70" s="3">
        <v>1</v>
      </c>
      <c r="N70" s="3">
        <v>1</v>
      </c>
      <c r="O70" s="3">
        <v>1</v>
      </c>
      <c r="P70" s="9" t="str">
        <f>BIN2HEX(""&amp;H70&amp;I70&amp;J70&amp;K70&amp;L70&amp;M70&amp;N70&amp;O70,2)</f>
        <v>4F</v>
      </c>
    </row>
    <row r="71" spans="1:41">
      <c r="P71" s="9"/>
    </row>
    <row r="72" spans="1:41" ht="57">
      <c r="A72" s="2" t="s">
        <v>27</v>
      </c>
      <c r="B72" s="2" t="s">
        <v>136</v>
      </c>
      <c r="C72" s="2" t="s">
        <v>137</v>
      </c>
      <c r="D72" s="2" t="s">
        <v>138</v>
      </c>
      <c r="E72" s="2" t="s">
        <v>31</v>
      </c>
      <c r="F72" s="2" t="s">
        <v>139</v>
      </c>
      <c r="G72" s="2">
        <v>0</v>
      </c>
      <c r="H72" s="3">
        <v>0</v>
      </c>
      <c r="I72" s="3">
        <v>0</v>
      </c>
      <c r="J72" s="3" t="s">
        <v>31</v>
      </c>
      <c r="K72" s="3" t="s">
        <v>31</v>
      </c>
      <c r="L72" s="3">
        <v>0</v>
      </c>
      <c r="M72" s="3">
        <v>0</v>
      </c>
      <c r="N72" s="3">
        <v>0</v>
      </c>
      <c r="O72" s="3">
        <v>1</v>
      </c>
      <c r="P72" s="9"/>
      <c r="Q72" s="2">
        <v>2</v>
      </c>
      <c r="R72" s="2" t="s">
        <v>81</v>
      </c>
      <c r="T72" s="2" t="s">
        <v>140</v>
      </c>
      <c r="V72" s="4" t="str">
        <f>$V$6</f>
        <v>PC.OE, ABUF.L, INC2.P, INC2.L</v>
      </c>
      <c r="W72" s="4" t="str">
        <f>$W$6</f>
        <v>INC2.P, INC2.OE, PC.L.INC2, DBUF.L.IN</v>
      </c>
      <c r="X72" s="4" t="str">
        <f>$X$6</f>
        <v>DBUF.L.IN, INSTR.L</v>
      </c>
      <c r="Y72" s="4" t="s">
        <v>45</v>
      </c>
      <c r="Z72" s="4" t="s">
        <v>46</v>
      </c>
      <c r="AA72" s="4" t="s">
        <v>35</v>
      </c>
      <c r="AB72" s="4" t="s">
        <v>36</v>
      </c>
      <c r="AC72" s="4" t="s">
        <v>141</v>
      </c>
      <c r="AD72" s="4" t="s">
        <v>46</v>
      </c>
      <c r="AE72" s="4" t="s">
        <v>46</v>
      </c>
      <c r="AF72" s="4" t="s">
        <v>35</v>
      </c>
      <c r="AG72" s="4" t="s">
        <v>36</v>
      </c>
      <c r="AH72" s="4" t="s">
        <v>142</v>
      </c>
      <c r="AI72" s="18" t="s">
        <v>46</v>
      </c>
      <c r="AJ72" s="18" t="s">
        <v>46</v>
      </c>
      <c r="AK72"/>
      <c r="AL72"/>
      <c r="AM72"/>
      <c r="AN72" s="4" t="s">
        <v>46</v>
      </c>
      <c r="AO72" s="4" t="s">
        <v>46</v>
      </c>
    </row>
    <row r="73" spans="1:41">
      <c r="G73" s="2">
        <v>1</v>
      </c>
      <c r="H73" s="3" t="s">
        <v>48</v>
      </c>
      <c r="I73" s="3" t="s">
        <v>48</v>
      </c>
      <c r="J73" s="3" t="s">
        <v>48</v>
      </c>
      <c r="K73" s="3" t="s">
        <v>48</v>
      </c>
      <c r="L73" s="3" t="s">
        <v>48</v>
      </c>
      <c r="M73" s="3" t="s">
        <v>48</v>
      </c>
      <c r="N73" s="3" t="s">
        <v>48</v>
      </c>
      <c r="O73" s="3" t="s">
        <v>48</v>
      </c>
      <c r="P73" s="9"/>
    </row>
    <row r="74" spans="1:41">
      <c r="G74" s="2">
        <v>2</v>
      </c>
      <c r="H74" s="3" t="s">
        <v>48</v>
      </c>
      <c r="I74" s="3" t="s">
        <v>48</v>
      </c>
      <c r="J74" s="3" t="s">
        <v>48</v>
      </c>
      <c r="K74" s="3" t="s">
        <v>48</v>
      </c>
      <c r="L74" s="3" t="s">
        <v>48</v>
      </c>
      <c r="M74" s="3" t="s">
        <v>48</v>
      </c>
      <c r="N74" s="3" t="s">
        <v>48</v>
      </c>
      <c r="O74" s="3" t="s">
        <v>48</v>
      </c>
      <c r="P74" s="9"/>
    </row>
    <row r="75" spans="1:41">
      <c r="P75" s="9"/>
    </row>
    <row r="76" spans="1:41" ht="57">
      <c r="A76" s="2" t="s">
        <v>27</v>
      </c>
      <c r="B76" s="2" t="s">
        <v>143</v>
      </c>
      <c r="C76" s="2" t="s">
        <v>144</v>
      </c>
      <c r="D76" s="2" t="s">
        <v>138</v>
      </c>
      <c r="E76" s="2" t="s">
        <v>31</v>
      </c>
      <c r="F76" s="2" t="s">
        <v>139</v>
      </c>
      <c r="G76" s="2">
        <v>0</v>
      </c>
      <c r="H76" s="3">
        <v>1</v>
      </c>
      <c r="I76" s="3">
        <v>1</v>
      </c>
      <c r="J76" s="3">
        <v>0</v>
      </c>
      <c r="K76" s="3">
        <v>1</v>
      </c>
      <c r="L76" s="3">
        <v>1</v>
      </c>
      <c r="M76" s="3">
        <v>1</v>
      </c>
      <c r="N76" s="3">
        <v>0</v>
      </c>
      <c r="O76" s="3">
        <v>1</v>
      </c>
      <c r="P76" s="9" t="str">
        <f>BIN2HEX(""&amp;H76&amp;I76&amp;J76&amp;K76&amp;L76&amp;M76&amp;N76&amp;O76,2)</f>
        <v>DD</v>
      </c>
      <c r="Q76" s="2">
        <v>4</v>
      </c>
      <c r="R76" s="2" t="s">
        <v>145</v>
      </c>
      <c r="T76" s="2" t="s">
        <v>146</v>
      </c>
      <c r="V76" s="4" t="str">
        <f>$V$6</f>
        <v>PC.OE, ABUF.L, INC2.P, INC2.L</v>
      </c>
      <c r="W76" s="4" t="str">
        <f>$W$6</f>
        <v>INC2.P, INC2.OE, PC.L.INC2, DBUF.L.IN</v>
      </c>
      <c r="X76" s="4" t="str">
        <f>$X$6</f>
        <v>DBUF.L.IN, INSTR.L</v>
      </c>
      <c r="Y76" s="4" t="s">
        <v>45</v>
      </c>
      <c r="Z76" s="4" t="s">
        <v>46</v>
      </c>
      <c r="AA76" s="4" t="str">
        <f>$V$6</f>
        <v>PC.OE, ABUF.L, INC2.P, INC2.L</v>
      </c>
      <c r="AB76" s="4" t="str">
        <f>$W$6</f>
        <v>INC2.P, INC2.OE, PC.L.INC2, DBUF.L.IN</v>
      </c>
      <c r="AC76" s="4" t="str">
        <f>$X$6</f>
        <v>DBUF.L.IN, INSTR.L</v>
      </c>
      <c r="AD76" s="4" t="s">
        <v>45</v>
      </c>
      <c r="AE76" s="4" t="s">
        <v>46</v>
      </c>
      <c r="AF76" s="4" t="s">
        <v>35</v>
      </c>
      <c r="AG76" s="4" t="s">
        <v>36</v>
      </c>
      <c r="AH76" s="4" t="s">
        <v>147</v>
      </c>
      <c r="AI76" s="4" t="s">
        <v>46</v>
      </c>
      <c r="AJ76" s="4" t="s">
        <v>46</v>
      </c>
      <c r="AK76" s="4" t="s">
        <v>35</v>
      </c>
      <c r="AL76" s="4" t="s">
        <v>36</v>
      </c>
      <c r="AM76" s="4" t="s">
        <v>148</v>
      </c>
      <c r="AN76" s="4" t="s">
        <v>46</v>
      </c>
      <c r="AO76" s="4" t="s">
        <v>46</v>
      </c>
    </row>
    <row r="77" spans="1:41">
      <c r="G77" s="2">
        <v>1</v>
      </c>
      <c r="H77" s="3">
        <v>0</v>
      </c>
      <c r="I77" s="3">
        <v>0</v>
      </c>
      <c r="J77" s="3">
        <v>1</v>
      </c>
      <c r="K77" s="3">
        <v>0</v>
      </c>
      <c r="L77" s="3">
        <v>0</v>
      </c>
      <c r="M77" s="3">
        <v>0</v>
      </c>
      <c r="N77" s="3">
        <v>0</v>
      </c>
      <c r="O77" s="3">
        <v>1</v>
      </c>
      <c r="P77" s="9" t="str">
        <f>BIN2HEX(""&amp;H77&amp;I77&amp;J77&amp;K77&amp;L77&amp;M77&amp;N77&amp;O77,2)</f>
        <v>21</v>
      </c>
    </row>
    <row r="78" spans="1:41">
      <c r="G78" s="2">
        <v>2</v>
      </c>
      <c r="H78" s="3" t="s">
        <v>48</v>
      </c>
      <c r="I78" s="3" t="s">
        <v>48</v>
      </c>
      <c r="J78" s="3" t="s">
        <v>48</v>
      </c>
      <c r="K78" s="3" t="s">
        <v>48</v>
      </c>
      <c r="L78" s="3" t="s">
        <v>48</v>
      </c>
      <c r="M78" s="3" t="s">
        <v>48</v>
      </c>
      <c r="N78" s="3" t="s">
        <v>48</v>
      </c>
      <c r="O78" s="3" t="s">
        <v>48</v>
      </c>
      <c r="P78" s="9"/>
    </row>
    <row r="79" spans="1:41">
      <c r="G79" s="2">
        <v>3</v>
      </c>
      <c r="H79" s="3" t="s">
        <v>48</v>
      </c>
      <c r="I79" s="3" t="s">
        <v>48</v>
      </c>
      <c r="J79" s="3" t="s">
        <v>48</v>
      </c>
      <c r="K79" s="3" t="s">
        <v>48</v>
      </c>
      <c r="L79" s="3" t="s">
        <v>48</v>
      </c>
      <c r="M79" s="3" t="s">
        <v>48</v>
      </c>
      <c r="N79" s="3" t="s">
        <v>48</v>
      </c>
      <c r="O79" s="3" t="s">
        <v>48</v>
      </c>
      <c r="P79" s="9"/>
    </row>
    <row r="80" spans="1:41">
      <c r="P80" s="9"/>
    </row>
    <row r="81" spans="1:51" ht="57">
      <c r="A81" s="2" t="s">
        <v>27</v>
      </c>
      <c r="B81" s="2" t="s">
        <v>149</v>
      </c>
      <c r="C81" s="2" t="s">
        <v>150</v>
      </c>
      <c r="D81" s="2" t="s">
        <v>138</v>
      </c>
      <c r="E81" s="2" t="s">
        <v>31</v>
      </c>
      <c r="F81" s="2" t="s">
        <v>139</v>
      </c>
      <c r="G81" s="2">
        <v>0</v>
      </c>
      <c r="H81" s="3">
        <v>1</v>
      </c>
      <c r="I81" s="3">
        <v>1</v>
      </c>
      <c r="J81" s="3">
        <v>1</v>
      </c>
      <c r="K81" s="3">
        <v>1</v>
      </c>
      <c r="L81" s="3">
        <v>1</v>
      </c>
      <c r="M81" s="3">
        <v>1</v>
      </c>
      <c r="N81" s="3">
        <v>0</v>
      </c>
      <c r="O81" s="3">
        <v>1</v>
      </c>
      <c r="P81" s="9" t="str">
        <f>BIN2HEX(""&amp;H81&amp;I81&amp;J81&amp;K81&amp;L81&amp;M81&amp;N81&amp;O81,2)</f>
        <v>FD</v>
      </c>
      <c r="Q81" s="2">
        <v>4</v>
      </c>
      <c r="R81" s="2" t="s">
        <v>145</v>
      </c>
      <c r="T81" s="2" t="s">
        <v>151</v>
      </c>
      <c r="V81" s="4" t="str">
        <f>$V$6</f>
        <v>PC.OE, ABUF.L, INC2.P, INC2.L</v>
      </c>
      <c r="W81" s="4" t="str">
        <f>$W$6</f>
        <v>INC2.P, INC2.OE, PC.L.INC2, DBUF.L.IN</v>
      </c>
      <c r="X81" s="4" t="str">
        <f>$X$6</f>
        <v>DBUF.L.IN, INSTR.L</v>
      </c>
      <c r="Y81" s="4" t="s">
        <v>45</v>
      </c>
      <c r="Z81" s="4" t="s">
        <v>46</v>
      </c>
      <c r="AA81" s="4" t="str">
        <f>$V$6</f>
        <v>PC.OE, ABUF.L, INC2.P, INC2.L</v>
      </c>
      <c r="AB81" s="4" t="str">
        <f>$W$6</f>
        <v>INC2.P, INC2.OE, PC.L.INC2, DBUF.L.IN</v>
      </c>
      <c r="AC81" s="4" t="str">
        <f>$X$6</f>
        <v>DBUF.L.IN, INSTR.L</v>
      </c>
      <c r="AD81" s="4" t="s">
        <v>45</v>
      </c>
      <c r="AE81" s="4" t="s">
        <v>46</v>
      </c>
      <c r="AF81" s="4" t="s">
        <v>35</v>
      </c>
      <c r="AG81" s="4" t="s">
        <v>36</v>
      </c>
      <c r="AH81" s="4" t="s">
        <v>152</v>
      </c>
      <c r="AI81" s="4" t="s">
        <v>46</v>
      </c>
      <c r="AJ81" s="4" t="s">
        <v>46</v>
      </c>
      <c r="AK81" s="4" t="s">
        <v>35</v>
      </c>
      <c r="AL81" s="4" t="s">
        <v>36</v>
      </c>
      <c r="AM81" s="4" t="s">
        <v>153</v>
      </c>
      <c r="AN81" s="4" t="s">
        <v>46</v>
      </c>
      <c r="AO81" s="4" t="s">
        <v>46</v>
      </c>
    </row>
    <row r="82" spans="1:51">
      <c r="G82" s="2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>
        <v>0</v>
      </c>
      <c r="O82" s="3">
        <v>1</v>
      </c>
      <c r="P82" s="9" t="str">
        <f>BIN2HEX(""&amp;H82&amp;I82&amp;J82&amp;K82&amp;L82&amp;M82&amp;N82&amp;O82,2)</f>
        <v>21</v>
      </c>
    </row>
    <row r="83" spans="1:51">
      <c r="G83" s="2">
        <v>2</v>
      </c>
      <c r="H83" s="3" t="s">
        <v>48</v>
      </c>
      <c r="I83" s="3" t="s">
        <v>48</v>
      </c>
      <c r="J83" s="3" t="s">
        <v>48</v>
      </c>
      <c r="K83" s="3" t="s">
        <v>48</v>
      </c>
      <c r="L83" s="3" t="s">
        <v>48</v>
      </c>
      <c r="M83" s="3" t="s">
        <v>48</v>
      </c>
      <c r="N83" s="3" t="s">
        <v>48</v>
      </c>
      <c r="O83" s="3" t="s">
        <v>48</v>
      </c>
      <c r="P83" s="9"/>
    </row>
    <row r="84" spans="1:51">
      <c r="G84" s="2">
        <v>3</v>
      </c>
      <c r="H84" s="3" t="s">
        <v>48</v>
      </c>
      <c r="I84" s="3" t="s">
        <v>48</v>
      </c>
      <c r="J84" s="3" t="s">
        <v>48</v>
      </c>
      <c r="K84" s="3" t="s">
        <v>48</v>
      </c>
      <c r="L84" s="3" t="s">
        <v>48</v>
      </c>
      <c r="M84" s="3" t="s">
        <v>48</v>
      </c>
      <c r="N84" s="3" t="s">
        <v>48</v>
      </c>
      <c r="O84" s="3" t="s">
        <v>48</v>
      </c>
      <c r="P84" s="9"/>
    </row>
    <row r="85" spans="1:51">
      <c r="P85" s="9"/>
    </row>
    <row r="86" spans="1:51" ht="57">
      <c r="A86" s="2" t="s">
        <v>27</v>
      </c>
      <c r="B86" s="2" t="s">
        <v>154</v>
      </c>
      <c r="C86" s="2" t="s">
        <v>155</v>
      </c>
      <c r="D86" s="2" t="s">
        <v>106</v>
      </c>
      <c r="E86" s="2" t="s">
        <v>31</v>
      </c>
      <c r="F86" s="2" t="s">
        <v>107</v>
      </c>
      <c r="G86" s="2">
        <v>0</v>
      </c>
      <c r="H86" s="3">
        <v>0</v>
      </c>
      <c r="I86" s="3">
        <v>0</v>
      </c>
      <c r="J86" s="3">
        <v>1</v>
      </c>
      <c r="K86" s="3">
        <v>0</v>
      </c>
      <c r="L86" s="20">
        <v>1</v>
      </c>
      <c r="M86" s="3">
        <v>0</v>
      </c>
      <c r="N86" s="3">
        <v>1</v>
      </c>
      <c r="O86" s="3">
        <v>0</v>
      </c>
      <c r="P86" s="9" t="str">
        <f>BIN2HEX(""&amp;H86&amp;I86&amp;J86&amp;K86&amp;L86&amp;M86&amp;N86&amp;O86,2)</f>
        <v>2A</v>
      </c>
      <c r="Q86" s="2">
        <v>5</v>
      </c>
      <c r="R86" s="2" t="s">
        <v>156</v>
      </c>
      <c r="T86" s="2" t="s">
        <v>157</v>
      </c>
      <c r="U86" s="22" t="s">
        <v>103</v>
      </c>
      <c r="V86" s="4" t="str">
        <f>$V$6</f>
        <v>PC.OE, ABUF.L, INC2.P, INC2.L</v>
      </c>
      <c r="W86" s="4" t="str">
        <f>$W$6</f>
        <v>INC2.P, INC2.OE, PC.L.INC2, DBUF.L.IN</v>
      </c>
      <c r="X86" s="4" t="str">
        <f>$X$6</f>
        <v>DBUF.L.IN, INSTR.L</v>
      </c>
      <c r="Y86" s="4" t="s">
        <v>45</v>
      </c>
      <c r="Z86" s="4" t="s">
        <v>46</v>
      </c>
      <c r="AA86" s="4" t="s">
        <v>35</v>
      </c>
      <c r="AB86" s="4" t="s">
        <v>36</v>
      </c>
      <c r="AC86" s="4" t="s">
        <v>61</v>
      </c>
      <c r="AD86" s="4" t="s">
        <v>46</v>
      </c>
      <c r="AE86" s="4" t="s">
        <v>46</v>
      </c>
      <c r="AF86" s="4" t="s">
        <v>35</v>
      </c>
      <c r="AG86" s="4" t="s">
        <v>36</v>
      </c>
      <c r="AH86" s="4" t="s">
        <v>110</v>
      </c>
      <c r="AI86" s="18" t="s">
        <v>46</v>
      </c>
      <c r="AJ86" s="4" t="s">
        <v>46</v>
      </c>
      <c r="AK86" s="4" t="s">
        <v>111</v>
      </c>
      <c r="AL86" s="4" t="s">
        <v>112</v>
      </c>
      <c r="AM86" s="4" t="s">
        <v>55</v>
      </c>
      <c r="AN86" s="4" t="s">
        <v>158</v>
      </c>
      <c r="AO86" s="4" t="s">
        <v>46</v>
      </c>
      <c r="AP86" s="4" t="s">
        <v>159</v>
      </c>
      <c r="AQ86" s="4" t="s">
        <v>160</v>
      </c>
      <c r="AR86" s="4" t="s">
        <v>55</v>
      </c>
      <c r="AS86" s="4" t="s">
        <v>161</v>
      </c>
    </row>
    <row r="87" spans="1:51">
      <c r="G87" s="2">
        <v>1</v>
      </c>
      <c r="H87" s="3" t="s">
        <v>48</v>
      </c>
      <c r="I87" s="3" t="s">
        <v>48</v>
      </c>
      <c r="J87" s="3" t="s">
        <v>48</v>
      </c>
      <c r="K87" s="3" t="s">
        <v>48</v>
      </c>
      <c r="L87" s="3" t="s">
        <v>48</v>
      </c>
      <c r="M87" s="3" t="s">
        <v>48</v>
      </c>
      <c r="N87" s="3" t="s">
        <v>48</v>
      </c>
      <c r="O87" s="3" t="s">
        <v>48</v>
      </c>
      <c r="P87" s="9"/>
    </row>
    <row r="88" spans="1:51">
      <c r="G88" s="2">
        <v>2</v>
      </c>
      <c r="H88" s="3" t="s">
        <v>48</v>
      </c>
      <c r="I88" s="3" t="s">
        <v>48</v>
      </c>
      <c r="J88" s="3" t="s">
        <v>48</v>
      </c>
      <c r="K88" s="3" t="s">
        <v>48</v>
      </c>
      <c r="L88" s="3" t="s">
        <v>48</v>
      </c>
      <c r="M88" s="3" t="s">
        <v>48</v>
      </c>
      <c r="N88" s="3" t="s">
        <v>48</v>
      </c>
      <c r="O88" s="3" t="s">
        <v>48</v>
      </c>
      <c r="P88" s="9"/>
    </row>
    <row r="89" spans="1:51">
      <c r="P89" s="9"/>
    </row>
    <row r="90" spans="1:51" ht="57">
      <c r="A90" s="2" t="s">
        <v>27</v>
      </c>
      <c r="B90" s="2" t="s">
        <v>162</v>
      </c>
      <c r="C90" s="2" t="s">
        <v>137</v>
      </c>
      <c r="D90" s="2" t="s">
        <v>106</v>
      </c>
      <c r="E90" s="2" t="s">
        <v>31</v>
      </c>
      <c r="F90" s="2" t="s">
        <v>107</v>
      </c>
      <c r="G90" s="2">
        <v>0</v>
      </c>
      <c r="H90" s="3">
        <v>1</v>
      </c>
      <c r="I90" s="3">
        <v>1</v>
      </c>
      <c r="J90" s="3">
        <v>1</v>
      </c>
      <c r="K90" s="3">
        <v>0</v>
      </c>
      <c r="L90" s="3">
        <v>1</v>
      </c>
      <c r="M90" s="3">
        <v>1</v>
      </c>
      <c r="N90" s="3">
        <v>0</v>
      </c>
      <c r="O90" s="3">
        <v>1</v>
      </c>
      <c r="P90" s="9" t="str">
        <f>BIN2HEX(""&amp;H90&amp;I90&amp;J90&amp;K90&amp;L90&amp;M90&amp;N90&amp;O90,2)</f>
        <v>ED</v>
      </c>
      <c r="Q90" s="2">
        <v>6</v>
      </c>
      <c r="R90" s="2" t="s">
        <v>163</v>
      </c>
      <c r="T90" s="2" t="s">
        <v>164</v>
      </c>
      <c r="V90" s="4" t="str">
        <f>$V$6</f>
        <v>PC.OE, ABUF.L, INC2.P, INC2.L</v>
      </c>
      <c r="W90" s="4" t="str">
        <f>$W$6</f>
        <v>INC2.P, INC2.OE, PC.L.INC2, DBUF.L.IN</v>
      </c>
      <c r="X90" s="4" t="str">
        <f>$X$6</f>
        <v>DBUF.L.IN, INSTR.L</v>
      </c>
      <c r="Y90" s="4" t="s">
        <v>45</v>
      </c>
      <c r="Z90" s="4" t="s">
        <v>46</v>
      </c>
      <c r="AA90" s="4" t="s">
        <v>35</v>
      </c>
      <c r="AB90" s="4" t="s">
        <v>36</v>
      </c>
      <c r="AC90" s="4" t="s">
        <v>37</v>
      </c>
      <c r="AD90" s="18" t="s">
        <v>45</v>
      </c>
      <c r="AE90" s="4" t="s">
        <v>46</v>
      </c>
      <c r="AF90" s="4" t="s">
        <v>35</v>
      </c>
      <c r="AG90" s="4" t="s">
        <v>36</v>
      </c>
      <c r="AH90" s="4" t="s">
        <v>61</v>
      </c>
      <c r="AI90" s="4" t="s">
        <v>46</v>
      </c>
      <c r="AJ90" s="4" t="s">
        <v>46</v>
      </c>
      <c r="AK90" s="4" t="s">
        <v>35</v>
      </c>
      <c r="AL90" s="4" t="s">
        <v>36</v>
      </c>
      <c r="AM90" s="4" t="s">
        <v>110</v>
      </c>
      <c r="AN90" s="18" t="s">
        <v>46</v>
      </c>
      <c r="AO90" s="4" t="s">
        <v>46</v>
      </c>
      <c r="AP90" s="4" t="s">
        <v>111</v>
      </c>
      <c r="AQ90" s="4" t="s">
        <v>112</v>
      </c>
      <c r="AR90" s="4" t="s">
        <v>55</v>
      </c>
      <c r="AS90" s="4" t="s">
        <v>141</v>
      </c>
      <c r="AT90" s="4" t="s">
        <v>46</v>
      </c>
      <c r="AU90" s="4" t="s">
        <v>159</v>
      </c>
      <c r="AV90" s="4" t="s">
        <v>160</v>
      </c>
      <c r="AW90" s="4" t="s">
        <v>55</v>
      </c>
      <c r="AX90" s="4" t="s">
        <v>142</v>
      </c>
      <c r="AY90" s="4" t="s">
        <v>46</v>
      </c>
    </row>
    <row r="91" spans="1:51">
      <c r="G91" s="2">
        <v>1</v>
      </c>
      <c r="H91" s="3">
        <v>0</v>
      </c>
      <c r="I91" s="3">
        <v>1</v>
      </c>
      <c r="J91" s="3" t="s">
        <v>31</v>
      </c>
      <c r="K91" s="3" t="s">
        <v>31</v>
      </c>
      <c r="L91" s="3">
        <v>1</v>
      </c>
      <c r="M91" s="3">
        <v>0</v>
      </c>
      <c r="N91" s="3">
        <v>1</v>
      </c>
      <c r="O91" s="3">
        <v>1</v>
      </c>
      <c r="P91" s="9"/>
    </row>
    <row r="92" spans="1:51">
      <c r="G92" s="2">
        <v>2</v>
      </c>
      <c r="H92" s="3" t="s">
        <v>48</v>
      </c>
      <c r="I92" s="3" t="s">
        <v>48</v>
      </c>
      <c r="J92" s="3" t="s">
        <v>48</v>
      </c>
      <c r="K92" s="3" t="s">
        <v>48</v>
      </c>
      <c r="L92" s="3" t="s">
        <v>48</v>
      </c>
      <c r="M92" s="3" t="s">
        <v>48</v>
      </c>
      <c r="N92" s="3" t="s">
        <v>48</v>
      </c>
      <c r="O92" s="3" t="s">
        <v>48</v>
      </c>
      <c r="P92" s="9"/>
    </row>
    <row r="93" spans="1:51">
      <c r="G93" s="2">
        <v>3</v>
      </c>
      <c r="H93" s="3" t="s">
        <v>48</v>
      </c>
      <c r="I93" s="3" t="s">
        <v>48</v>
      </c>
      <c r="J93" s="3" t="s">
        <v>48</v>
      </c>
      <c r="K93" s="3" t="s">
        <v>48</v>
      </c>
      <c r="L93" s="3" t="s">
        <v>48</v>
      </c>
      <c r="M93" s="3" t="s">
        <v>48</v>
      </c>
      <c r="N93" s="3" t="s">
        <v>48</v>
      </c>
      <c r="O93" s="3" t="s">
        <v>48</v>
      </c>
      <c r="P93" s="9"/>
    </row>
    <row r="94" spans="1:51">
      <c r="P94" s="9"/>
    </row>
    <row r="95" spans="1:51" ht="57">
      <c r="A95" s="2" t="s">
        <v>27</v>
      </c>
      <c r="B95" s="2" t="s">
        <v>165</v>
      </c>
      <c r="C95" s="2" t="s">
        <v>144</v>
      </c>
      <c r="D95" s="2" t="s">
        <v>106</v>
      </c>
      <c r="E95" s="2" t="s">
        <v>31</v>
      </c>
      <c r="F95" s="2" t="s">
        <v>107</v>
      </c>
      <c r="G95" s="2">
        <v>0</v>
      </c>
      <c r="H95" s="3">
        <v>1</v>
      </c>
      <c r="I95" s="3">
        <v>1</v>
      </c>
      <c r="J95" s="13">
        <v>0</v>
      </c>
      <c r="K95" s="3">
        <v>1</v>
      </c>
      <c r="L95" s="3">
        <v>1</v>
      </c>
      <c r="M95" s="3">
        <v>1</v>
      </c>
      <c r="N95" s="3">
        <v>0</v>
      </c>
      <c r="O95" s="3">
        <v>1</v>
      </c>
      <c r="P95" s="9" t="str">
        <f>BIN2HEX(""&amp;H95&amp;I95&amp;J95&amp;K95&amp;L95&amp;M95&amp;N95&amp;O95,2)</f>
        <v>DD</v>
      </c>
      <c r="Q95" s="2">
        <v>6</v>
      </c>
      <c r="R95" s="2" t="s">
        <v>163</v>
      </c>
      <c r="T95" s="2" t="s">
        <v>166</v>
      </c>
      <c r="U95" s="14" t="s">
        <v>60</v>
      </c>
      <c r="V95" s="4" t="str">
        <f>$V$6</f>
        <v>PC.OE, ABUF.L, INC2.P, INC2.L</v>
      </c>
      <c r="W95" s="4" t="str">
        <f>$W$6</f>
        <v>INC2.P, INC2.OE, PC.L.INC2, DBUF.L.IN</v>
      </c>
      <c r="X95" s="4" t="str">
        <f>$X$6</f>
        <v>DBUF.L.IN, INSTR.L</v>
      </c>
      <c r="Y95" s="4" t="s">
        <v>45</v>
      </c>
      <c r="Z95" s="4" t="s">
        <v>46</v>
      </c>
      <c r="AA95" s="4" t="s">
        <v>35</v>
      </c>
      <c r="AB95" s="4" t="s">
        <v>36</v>
      </c>
      <c r="AC95" s="4" t="s">
        <v>37</v>
      </c>
      <c r="AD95" s="18" t="s">
        <v>45</v>
      </c>
      <c r="AE95" s="4" t="s">
        <v>46</v>
      </c>
      <c r="AF95" s="4" t="s">
        <v>35</v>
      </c>
      <c r="AG95" s="4" t="s">
        <v>36</v>
      </c>
      <c r="AH95" s="4" t="s">
        <v>61</v>
      </c>
      <c r="AI95" s="4" t="s">
        <v>46</v>
      </c>
      <c r="AJ95" s="4" t="s">
        <v>46</v>
      </c>
      <c r="AK95" s="4" t="s">
        <v>35</v>
      </c>
      <c r="AL95" s="4" t="s">
        <v>36</v>
      </c>
      <c r="AM95" s="4" t="s">
        <v>110</v>
      </c>
      <c r="AN95" s="18" t="s">
        <v>46</v>
      </c>
      <c r="AO95" s="4" t="s">
        <v>46</v>
      </c>
      <c r="AP95" s="4" t="s">
        <v>111</v>
      </c>
      <c r="AQ95" s="4" t="s">
        <v>112</v>
      </c>
      <c r="AR95" s="4" t="s">
        <v>55</v>
      </c>
      <c r="AS95" s="4" t="s">
        <v>147</v>
      </c>
      <c r="AT95" s="4" t="s">
        <v>46</v>
      </c>
      <c r="AU95" s="4" t="s">
        <v>159</v>
      </c>
      <c r="AV95" s="4" t="s">
        <v>160</v>
      </c>
      <c r="AW95" s="4" t="s">
        <v>55</v>
      </c>
      <c r="AX95" s="4" t="s">
        <v>148</v>
      </c>
      <c r="AY95" s="4" t="s">
        <v>46</v>
      </c>
    </row>
    <row r="96" spans="1:51">
      <c r="G96" s="2">
        <v>1</v>
      </c>
      <c r="H96" s="3">
        <v>0</v>
      </c>
      <c r="I96" s="3">
        <v>0</v>
      </c>
      <c r="J96" s="3">
        <v>1</v>
      </c>
      <c r="K96" s="3">
        <v>0</v>
      </c>
      <c r="L96" s="3">
        <v>1</v>
      </c>
      <c r="M96" s="3">
        <v>0</v>
      </c>
      <c r="N96" s="3">
        <v>1</v>
      </c>
      <c r="O96" s="3">
        <v>0</v>
      </c>
      <c r="P96" s="9" t="str">
        <f>BIN2HEX(""&amp;H96&amp;I96&amp;J96&amp;K96&amp;L96&amp;M96&amp;N96&amp;O96,2)</f>
        <v>2A</v>
      </c>
    </row>
    <row r="97" spans="1:51">
      <c r="G97" s="2">
        <v>2</v>
      </c>
      <c r="H97" s="3" t="s">
        <v>48</v>
      </c>
      <c r="I97" s="3" t="s">
        <v>48</v>
      </c>
      <c r="J97" s="3" t="s">
        <v>48</v>
      </c>
      <c r="K97" s="3" t="s">
        <v>48</v>
      </c>
      <c r="L97" s="3" t="s">
        <v>48</v>
      </c>
      <c r="M97" s="3" t="s">
        <v>48</v>
      </c>
      <c r="N97" s="3" t="s">
        <v>48</v>
      </c>
      <c r="O97" s="3" t="s">
        <v>48</v>
      </c>
      <c r="P97" s="9"/>
    </row>
    <row r="98" spans="1:51">
      <c r="G98" s="2">
        <v>3</v>
      </c>
      <c r="H98" s="3" t="s">
        <v>48</v>
      </c>
      <c r="I98" s="3" t="s">
        <v>48</v>
      </c>
      <c r="J98" s="3" t="s">
        <v>48</v>
      </c>
      <c r="K98" s="3" t="s">
        <v>48</v>
      </c>
      <c r="L98" s="3" t="s">
        <v>48</v>
      </c>
      <c r="M98" s="3" t="s">
        <v>48</v>
      </c>
      <c r="N98" s="3" t="s">
        <v>48</v>
      </c>
      <c r="O98" s="3" t="s">
        <v>48</v>
      </c>
      <c r="P98" s="9"/>
    </row>
    <row r="99" spans="1:51">
      <c r="P99" s="9"/>
    </row>
    <row r="100" spans="1:51" ht="57">
      <c r="A100" s="2" t="s">
        <v>27</v>
      </c>
      <c r="B100" s="2" t="s">
        <v>167</v>
      </c>
      <c r="C100" s="2" t="s">
        <v>150</v>
      </c>
      <c r="D100" s="2" t="s">
        <v>106</v>
      </c>
      <c r="E100" s="2" t="s">
        <v>31</v>
      </c>
      <c r="F100" s="2" t="s">
        <v>107</v>
      </c>
      <c r="G100" s="2">
        <v>0</v>
      </c>
      <c r="H100" s="3">
        <v>1</v>
      </c>
      <c r="I100" s="3">
        <v>1</v>
      </c>
      <c r="J100" s="13">
        <v>1</v>
      </c>
      <c r="K100" s="3">
        <v>1</v>
      </c>
      <c r="L100" s="3">
        <v>1</v>
      </c>
      <c r="M100" s="3">
        <v>1</v>
      </c>
      <c r="N100" s="3">
        <v>0</v>
      </c>
      <c r="O100" s="3">
        <v>1</v>
      </c>
      <c r="P100" s="9" t="str">
        <f>BIN2HEX(""&amp;H100&amp;I100&amp;J100&amp;K100&amp;L100&amp;M100&amp;N100&amp;O100,2)</f>
        <v>FD</v>
      </c>
      <c r="Q100" s="2">
        <v>6</v>
      </c>
      <c r="R100" s="2" t="s">
        <v>163</v>
      </c>
      <c r="T100" s="2" t="s">
        <v>168</v>
      </c>
      <c r="V100" s="4" t="str">
        <f>$V$6</f>
        <v>PC.OE, ABUF.L, INC2.P, INC2.L</v>
      </c>
      <c r="W100" s="4" t="str">
        <f>$W$6</f>
        <v>INC2.P, INC2.OE, PC.L.INC2, DBUF.L.IN</v>
      </c>
      <c r="X100" s="4" t="str">
        <f>$X$6</f>
        <v>DBUF.L.IN, INSTR.L</v>
      </c>
      <c r="Y100" s="4" t="s">
        <v>45</v>
      </c>
      <c r="Z100" s="4" t="s">
        <v>46</v>
      </c>
      <c r="AA100" s="4" t="s">
        <v>35</v>
      </c>
      <c r="AB100" s="4" t="s">
        <v>36</v>
      </c>
      <c r="AC100" s="4" t="s">
        <v>37</v>
      </c>
      <c r="AD100" s="18" t="s">
        <v>45</v>
      </c>
      <c r="AE100" s="4" t="s">
        <v>46</v>
      </c>
      <c r="AF100" s="4" t="s">
        <v>35</v>
      </c>
      <c r="AG100" s="4" t="s">
        <v>36</v>
      </c>
      <c r="AH100" s="4" t="s">
        <v>61</v>
      </c>
      <c r="AI100" s="4" t="s">
        <v>46</v>
      </c>
      <c r="AJ100" s="4" t="s">
        <v>46</v>
      </c>
      <c r="AK100" s="4" t="s">
        <v>35</v>
      </c>
      <c r="AL100" s="4" t="s">
        <v>36</v>
      </c>
      <c r="AM100" s="4" t="s">
        <v>110</v>
      </c>
      <c r="AN100" s="18" t="s">
        <v>46</v>
      </c>
      <c r="AO100" s="4" t="s">
        <v>46</v>
      </c>
      <c r="AP100" s="4" t="s">
        <v>111</v>
      </c>
      <c r="AQ100" s="4" t="s">
        <v>112</v>
      </c>
      <c r="AR100" s="4" t="s">
        <v>55</v>
      </c>
      <c r="AS100" s="4" t="s">
        <v>152</v>
      </c>
      <c r="AT100" s="4" t="s">
        <v>46</v>
      </c>
      <c r="AU100" s="4" t="s">
        <v>159</v>
      </c>
      <c r="AV100" s="4" t="s">
        <v>160</v>
      </c>
      <c r="AW100" s="4" t="s">
        <v>55</v>
      </c>
      <c r="AX100" s="4" t="s">
        <v>153</v>
      </c>
      <c r="AY100" s="4" t="s">
        <v>46</v>
      </c>
    </row>
    <row r="101" spans="1:51">
      <c r="G101" s="2">
        <v>1</v>
      </c>
      <c r="H101" s="3">
        <v>0</v>
      </c>
      <c r="I101" s="3">
        <v>0</v>
      </c>
      <c r="J101" s="3">
        <v>1</v>
      </c>
      <c r="K101" s="3">
        <v>0</v>
      </c>
      <c r="L101" s="3">
        <v>1</v>
      </c>
      <c r="M101" s="3">
        <v>0</v>
      </c>
      <c r="N101" s="3">
        <v>1</v>
      </c>
      <c r="O101" s="3">
        <v>0</v>
      </c>
      <c r="P101" s="9" t="str">
        <f>BIN2HEX(""&amp;H101&amp;I101&amp;J101&amp;K101&amp;L101&amp;M101&amp;N101&amp;O101,2)</f>
        <v>2A</v>
      </c>
    </row>
    <row r="102" spans="1:51">
      <c r="G102" s="2">
        <v>2</v>
      </c>
      <c r="H102" s="3" t="s">
        <v>48</v>
      </c>
      <c r="I102" s="3" t="s">
        <v>48</v>
      </c>
      <c r="J102" s="3" t="s">
        <v>48</v>
      </c>
      <c r="K102" s="3" t="s">
        <v>48</v>
      </c>
      <c r="L102" s="3" t="s">
        <v>48</v>
      </c>
      <c r="M102" s="3" t="s">
        <v>48</v>
      </c>
      <c r="N102" s="3" t="s">
        <v>48</v>
      </c>
      <c r="O102" s="3" t="s">
        <v>48</v>
      </c>
      <c r="P102" s="9"/>
    </row>
    <row r="103" spans="1:51">
      <c r="G103" s="2">
        <v>3</v>
      </c>
      <c r="H103" s="3" t="s">
        <v>48</v>
      </c>
      <c r="I103" s="3" t="s">
        <v>48</v>
      </c>
      <c r="J103" s="3" t="s">
        <v>48</v>
      </c>
      <c r="K103" s="3" t="s">
        <v>48</v>
      </c>
      <c r="L103" s="3" t="s">
        <v>48</v>
      </c>
      <c r="M103" s="3" t="s">
        <v>48</v>
      </c>
      <c r="N103" s="3" t="s">
        <v>48</v>
      </c>
      <c r="O103" s="3" t="s">
        <v>48</v>
      </c>
      <c r="P103" s="9"/>
    </row>
    <row r="104" spans="1:51">
      <c r="P104" s="9"/>
    </row>
    <row r="105" spans="1:51" ht="57">
      <c r="A105" s="2" t="s">
        <v>27</v>
      </c>
      <c r="B105" s="2" t="s">
        <v>169</v>
      </c>
      <c r="C105" s="2" t="s">
        <v>106</v>
      </c>
      <c r="D105" s="2" t="s">
        <v>170</v>
      </c>
      <c r="E105" s="2" t="s">
        <v>107</v>
      </c>
      <c r="F105" s="2" t="s">
        <v>31</v>
      </c>
      <c r="G105" s="2">
        <v>0</v>
      </c>
      <c r="H105" s="3">
        <v>0</v>
      </c>
      <c r="I105" s="3">
        <v>0</v>
      </c>
      <c r="J105" s="3">
        <v>1</v>
      </c>
      <c r="K105" s="3">
        <v>0</v>
      </c>
      <c r="L105" s="20">
        <v>0</v>
      </c>
      <c r="M105" s="3">
        <v>0</v>
      </c>
      <c r="N105" s="3">
        <v>1</v>
      </c>
      <c r="O105" s="3">
        <v>0</v>
      </c>
      <c r="P105" s="9" t="str">
        <f>BIN2HEX(""&amp;H105&amp;I105&amp;J105&amp;K105&amp;L105&amp;M105&amp;N105&amp;O105,2)</f>
        <v>22</v>
      </c>
      <c r="Q105" s="2">
        <v>5</v>
      </c>
      <c r="R105" s="2" t="s">
        <v>156</v>
      </c>
      <c r="T105" s="2" t="s">
        <v>171</v>
      </c>
      <c r="V105" s="4" t="str">
        <f>$V$6</f>
        <v>PC.OE, ABUF.L, INC2.P, INC2.L</v>
      </c>
      <c r="W105" s="4" t="str">
        <f>$W$6</f>
        <v>INC2.P, INC2.OE, PC.L.INC2, DBUF.L.IN</v>
      </c>
      <c r="X105" s="4" t="str">
        <f>$X$6</f>
        <v>DBUF.L.IN, INSTR.L</v>
      </c>
      <c r="Y105" s="4" t="s">
        <v>45</v>
      </c>
      <c r="Z105" s="4" t="s">
        <v>46</v>
      </c>
      <c r="AA105" s="4" t="s">
        <v>35</v>
      </c>
      <c r="AB105" s="4" t="s">
        <v>36</v>
      </c>
      <c r="AC105" s="4" t="s">
        <v>61</v>
      </c>
      <c r="AD105" s="4" t="s">
        <v>46</v>
      </c>
      <c r="AE105" s="4" t="s">
        <v>46</v>
      </c>
      <c r="AF105" s="4" t="s">
        <v>35</v>
      </c>
      <c r="AG105" s="4" t="s">
        <v>36</v>
      </c>
      <c r="AH105" s="4" t="s">
        <v>110</v>
      </c>
      <c r="AI105" s="18" t="s">
        <v>46</v>
      </c>
      <c r="AJ105" s="4" t="s">
        <v>46</v>
      </c>
      <c r="AK105" s="4" t="s">
        <v>111</v>
      </c>
      <c r="AL105" s="4" t="s">
        <v>112</v>
      </c>
      <c r="AM105" s="4" t="s">
        <v>172</v>
      </c>
      <c r="AN105" s="4" t="s">
        <v>46</v>
      </c>
      <c r="AO105" s="4" t="s">
        <v>46</v>
      </c>
      <c r="AP105" s="4" t="s">
        <v>159</v>
      </c>
      <c r="AQ105" s="4" t="s">
        <v>160</v>
      </c>
      <c r="AR105" s="4" t="s">
        <v>173</v>
      </c>
      <c r="AS105" s="4" t="s">
        <v>46</v>
      </c>
      <c r="AT105" s="4" t="s">
        <v>46</v>
      </c>
    </row>
    <row r="106" spans="1:51">
      <c r="G106" s="2">
        <v>1</v>
      </c>
      <c r="H106" s="3" t="s">
        <v>48</v>
      </c>
      <c r="I106" s="3" t="s">
        <v>48</v>
      </c>
      <c r="J106" s="3" t="s">
        <v>48</v>
      </c>
      <c r="K106" s="3" t="s">
        <v>48</v>
      </c>
      <c r="L106" s="3" t="s">
        <v>48</v>
      </c>
      <c r="M106" s="3" t="s">
        <v>48</v>
      </c>
      <c r="N106" s="3" t="s">
        <v>48</v>
      </c>
      <c r="O106" s="3" t="s">
        <v>48</v>
      </c>
      <c r="P106" s="9"/>
    </row>
    <row r="107" spans="1:51">
      <c r="G107" s="2">
        <v>2</v>
      </c>
      <c r="H107" s="3" t="s">
        <v>48</v>
      </c>
      <c r="I107" s="3" t="s">
        <v>48</v>
      </c>
      <c r="J107" s="3" t="s">
        <v>48</v>
      </c>
      <c r="K107" s="3" t="s">
        <v>48</v>
      </c>
      <c r="L107" s="3" t="s">
        <v>48</v>
      </c>
      <c r="M107" s="3" t="s">
        <v>48</v>
      </c>
      <c r="N107" s="3" t="s">
        <v>48</v>
      </c>
      <c r="O107" s="3" t="s">
        <v>48</v>
      </c>
      <c r="P107" s="9"/>
    </row>
    <row r="108" spans="1:51">
      <c r="P108" s="9"/>
    </row>
    <row r="109" spans="1:51" ht="57">
      <c r="A109" s="2" t="s">
        <v>27</v>
      </c>
      <c r="B109" s="2" t="s">
        <v>174</v>
      </c>
      <c r="C109" s="2" t="s">
        <v>106</v>
      </c>
      <c r="D109" s="2" t="s">
        <v>175</v>
      </c>
      <c r="E109" s="2" t="s">
        <v>107</v>
      </c>
      <c r="F109" s="2" t="s">
        <v>31</v>
      </c>
      <c r="G109" s="2">
        <v>0</v>
      </c>
      <c r="H109" s="3">
        <v>1</v>
      </c>
      <c r="I109" s="3">
        <v>1</v>
      </c>
      <c r="J109" s="3">
        <v>1</v>
      </c>
      <c r="K109" s="3">
        <v>0</v>
      </c>
      <c r="L109" s="3">
        <v>1</v>
      </c>
      <c r="M109" s="3">
        <v>1</v>
      </c>
      <c r="N109" s="3">
        <v>0</v>
      </c>
      <c r="O109" s="3">
        <v>1</v>
      </c>
      <c r="P109" s="9" t="str">
        <f>BIN2HEX(""&amp;H109&amp;I109&amp;J109&amp;K109&amp;L109&amp;M109&amp;N109&amp;O109,2)</f>
        <v>ED</v>
      </c>
      <c r="Q109" s="2">
        <v>6</v>
      </c>
      <c r="R109" s="2" t="s">
        <v>163</v>
      </c>
      <c r="T109" s="2" t="s">
        <v>176</v>
      </c>
      <c r="V109" s="4" t="str">
        <f>$V$6</f>
        <v>PC.OE, ABUF.L, INC2.P, INC2.L</v>
      </c>
      <c r="W109" s="4" t="str">
        <f>$W$6</f>
        <v>INC2.P, INC2.OE, PC.L.INC2, DBUF.L.IN</v>
      </c>
      <c r="X109" s="4" t="str">
        <f>$X$6</f>
        <v>DBUF.L.IN, INSTR.L</v>
      </c>
      <c r="Y109" s="4" t="s">
        <v>45</v>
      </c>
      <c r="Z109" s="4" t="s">
        <v>46</v>
      </c>
      <c r="AA109" s="4" t="s">
        <v>35</v>
      </c>
      <c r="AB109" s="4" t="s">
        <v>36</v>
      </c>
      <c r="AC109" s="4" t="s">
        <v>37</v>
      </c>
      <c r="AD109" s="18" t="s">
        <v>45</v>
      </c>
      <c r="AE109" s="4" t="s">
        <v>46</v>
      </c>
      <c r="AF109" s="4" t="s">
        <v>35</v>
      </c>
      <c r="AG109" s="4" t="s">
        <v>36</v>
      </c>
      <c r="AH109" s="4" t="s">
        <v>61</v>
      </c>
      <c r="AI109" s="4" t="s">
        <v>46</v>
      </c>
      <c r="AJ109" s="4" t="s">
        <v>46</v>
      </c>
      <c r="AK109" s="4" t="s">
        <v>35</v>
      </c>
      <c r="AL109" s="4" t="s">
        <v>36</v>
      </c>
      <c r="AM109" s="4" t="s">
        <v>110</v>
      </c>
      <c r="AN109" s="18" t="s">
        <v>46</v>
      </c>
      <c r="AO109" s="4" t="s">
        <v>46</v>
      </c>
      <c r="AP109" s="4" t="s">
        <v>111</v>
      </c>
      <c r="AQ109" s="4" t="s">
        <v>112</v>
      </c>
      <c r="AR109" s="4" t="s">
        <v>177</v>
      </c>
      <c r="AS109" s="4" t="s">
        <v>46</v>
      </c>
      <c r="AT109" s="4" t="s">
        <v>46</v>
      </c>
      <c r="AU109" s="4" t="s">
        <v>159</v>
      </c>
      <c r="AV109" s="4" t="s">
        <v>160</v>
      </c>
      <c r="AW109" s="4" t="s">
        <v>178</v>
      </c>
      <c r="AX109" s="4" t="s">
        <v>46</v>
      </c>
      <c r="AY109" s="4" t="s">
        <v>46</v>
      </c>
    </row>
    <row r="110" spans="1:51">
      <c r="G110" s="2">
        <v>1</v>
      </c>
      <c r="H110" s="3">
        <v>0</v>
      </c>
      <c r="I110" s="3">
        <v>1</v>
      </c>
      <c r="J110" s="3" t="s">
        <v>31</v>
      </c>
      <c r="K110" s="3" t="s">
        <v>31</v>
      </c>
      <c r="L110" s="3">
        <v>0</v>
      </c>
      <c r="M110" s="3">
        <v>0</v>
      </c>
      <c r="N110" s="3">
        <v>1</v>
      </c>
      <c r="O110" s="3">
        <v>1</v>
      </c>
      <c r="P110" s="9"/>
    </row>
    <row r="111" spans="1:51">
      <c r="G111" s="2">
        <v>2</v>
      </c>
      <c r="H111" s="3" t="s">
        <v>48</v>
      </c>
      <c r="I111" s="3" t="s">
        <v>48</v>
      </c>
      <c r="J111" s="3" t="s">
        <v>48</v>
      </c>
      <c r="K111" s="3" t="s">
        <v>48</v>
      </c>
      <c r="L111" s="3" t="s">
        <v>48</v>
      </c>
      <c r="M111" s="3" t="s">
        <v>48</v>
      </c>
      <c r="N111" s="3" t="s">
        <v>48</v>
      </c>
      <c r="O111" s="3" t="s">
        <v>48</v>
      </c>
      <c r="P111" s="9"/>
    </row>
    <row r="112" spans="1:51">
      <c r="G112" s="2">
        <v>3</v>
      </c>
      <c r="H112" s="3" t="s">
        <v>48</v>
      </c>
      <c r="I112" s="3" t="s">
        <v>48</v>
      </c>
      <c r="J112" s="3" t="s">
        <v>48</v>
      </c>
      <c r="K112" s="3" t="s">
        <v>48</v>
      </c>
      <c r="L112" s="3" t="s">
        <v>48</v>
      </c>
      <c r="M112" s="3" t="s">
        <v>48</v>
      </c>
      <c r="N112" s="3" t="s">
        <v>48</v>
      </c>
      <c r="O112" s="3" t="s">
        <v>48</v>
      </c>
      <c r="P112" s="9"/>
    </row>
    <row r="113" spans="1:51">
      <c r="P113" s="9"/>
    </row>
    <row r="114" spans="1:51" ht="57">
      <c r="A114" s="2" t="s">
        <v>27</v>
      </c>
      <c r="B114" s="2" t="s">
        <v>179</v>
      </c>
      <c r="C114" s="2" t="s">
        <v>106</v>
      </c>
      <c r="D114" s="2" t="s">
        <v>180</v>
      </c>
      <c r="E114" s="2" t="s">
        <v>107</v>
      </c>
      <c r="F114" s="2" t="s">
        <v>31</v>
      </c>
      <c r="G114" s="2">
        <v>0</v>
      </c>
      <c r="H114" s="3">
        <v>1</v>
      </c>
      <c r="I114" s="3">
        <v>1</v>
      </c>
      <c r="J114" s="13">
        <v>0</v>
      </c>
      <c r="K114" s="3">
        <v>1</v>
      </c>
      <c r="L114" s="3">
        <v>1</v>
      </c>
      <c r="M114" s="3">
        <v>1</v>
      </c>
      <c r="N114" s="3">
        <v>0</v>
      </c>
      <c r="O114" s="3">
        <v>1</v>
      </c>
      <c r="P114" s="9" t="str">
        <f>BIN2HEX(""&amp;H114&amp;I114&amp;J114&amp;K114&amp;L114&amp;M114&amp;N114&amp;O114,2)</f>
        <v>DD</v>
      </c>
      <c r="Q114" s="2">
        <v>6</v>
      </c>
      <c r="R114" s="2" t="s">
        <v>163</v>
      </c>
      <c r="T114" s="2" t="s">
        <v>181</v>
      </c>
      <c r="U114" s="14" t="s">
        <v>60</v>
      </c>
      <c r="V114" s="4" t="str">
        <f>$V$6</f>
        <v>PC.OE, ABUF.L, INC2.P, INC2.L</v>
      </c>
      <c r="W114" s="4" t="str">
        <f>$W$6</f>
        <v>INC2.P, INC2.OE, PC.L.INC2, DBUF.L.IN</v>
      </c>
      <c r="X114" s="4" t="str">
        <f>$X$6</f>
        <v>DBUF.L.IN, INSTR.L</v>
      </c>
      <c r="Y114" s="4" t="s">
        <v>45</v>
      </c>
      <c r="Z114" s="4" t="s">
        <v>46</v>
      </c>
      <c r="AA114" s="4" t="s">
        <v>35</v>
      </c>
      <c r="AB114" s="4" t="s">
        <v>36</v>
      </c>
      <c r="AC114" s="4" t="s">
        <v>37</v>
      </c>
      <c r="AD114" s="18" t="s">
        <v>45</v>
      </c>
      <c r="AE114" s="4" t="s">
        <v>46</v>
      </c>
      <c r="AF114" s="4" t="s">
        <v>35</v>
      </c>
      <c r="AG114" s="4" t="s">
        <v>36</v>
      </c>
      <c r="AH114" s="4" t="s">
        <v>61</v>
      </c>
      <c r="AI114" s="4" t="s">
        <v>46</v>
      </c>
      <c r="AJ114" s="4" t="s">
        <v>46</v>
      </c>
      <c r="AK114" s="4" t="s">
        <v>35</v>
      </c>
      <c r="AL114" s="4" t="s">
        <v>36</v>
      </c>
      <c r="AM114" s="4" t="s">
        <v>110</v>
      </c>
      <c r="AN114" s="18" t="s">
        <v>46</v>
      </c>
      <c r="AO114" s="4" t="s">
        <v>46</v>
      </c>
      <c r="AP114" s="4" t="s">
        <v>111</v>
      </c>
      <c r="AQ114" s="4" t="s">
        <v>112</v>
      </c>
      <c r="AR114" s="4" t="s">
        <v>182</v>
      </c>
      <c r="AS114" s="4" t="s">
        <v>46</v>
      </c>
      <c r="AT114" s="4" t="s">
        <v>46</v>
      </c>
      <c r="AU114" s="4" t="s">
        <v>159</v>
      </c>
      <c r="AV114" s="4" t="s">
        <v>160</v>
      </c>
      <c r="AW114" s="4" t="s">
        <v>183</v>
      </c>
      <c r="AX114" s="4" t="s">
        <v>46</v>
      </c>
      <c r="AY114" s="4" t="s">
        <v>46</v>
      </c>
    </row>
    <row r="115" spans="1:51">
      <c r="G115" s="2">
        <v>1</v>
      </c>
      <c r="H115" s="3">
        <v>0</v>
      </c>
      <c r="I115" s="3">
        <v>0</v>
      </c>
      <c r="J115" s="3">
        <v>1</v>
      </c>
      <c r="K115" s="3">
        <v>0</v>
      </c>
      <c r="L115" s="3">
        <v>0</v>
      </c>
      <c r="M115" s="3">
        <v>0</v>
      </c>
      <c r="N115" s="3">
        <v>1</v>
      </c>
      <c r="O115" s="3">
        <v>0</v>
      </c>
      <c r="P115" s="9" t="str">
        <f>BIN2HEX(""&amp;H115&amp;I115&amp;J115&amp;K115&amp;L115&amp;M115&amp;N115&amp;O115,2)</f>
        <v>22</v>
      </c>
    </row>
    <row r="116" spans="1:51">
      <c r="G116" s="2">
        <v>2</v>
      </c>
      <c r="H116" s="3" t="s">
        <v>48</v>
      </c>
      <c r="I116" s="3" t="s">
        <v>48</v>
      </c>
      <c r="J116" s="3" t="s">
        <v>48</v>
      </c>
      <c r="K116" s="3" t="s">
        <v>48</v>
      </c>
      <c r="L116" s="3" t="s">
        <v>48</v>
      </c>
      <c r="M116" s="3" t="s">
        <v>48</v>
      </c>
      <c r="N116" s="3" t="s">
        <v>48</v>
      </c>
      <c r="O116" s="3" t="s">
        <v>48</v>
      </c>
      <c r="P116" s="9"/>
    </row>
    <row r="117" spans="1:51">
      <c r="G117" s="2">
        <v>3</v>
      </c>
      <c r="H117" s="3" t="s">
        <v>48</v>
      </c>
      <c r="I117" s="3" t="s">
        <v>48</v>
      </c>
      <c r="J117" s="3" t="s">
        <v>48</v>
      </c>
      <c r="K117" s="3" t="s">
        <v>48</v>
      </c>
      <c r="L117" s="3" t="s">
        <v>48</v>
      </c>
      <c r="M117" s="3" t="s">
        <v>48</v>
      </c>
      <c r="N117" s="3" t="s">
        <v>48</v>
      </c>
      <c r="O117" s="3" t="s">
        <v>48</v>
      </c>
      <c r="P117" s="9"/>
    </row>
    <row r="118" spans="1:51">
      <c r="P118" s="9"/>
    </row>
    <row r="119" spans="1:51" ht="57">
      <c r="A119" s="2" t="s">
        <v>27</v>
      </c>
      <c r="B119" s="2" t="s">
        <v>184</v>
      </c>
      <c r="C119" s="2" t="s">
        <v>106</v>
      </c>
      <c r="D119" s="2" t="s">
        <v>185</v>
      </c>
      <c r="E119" s="2" t="s">
        <v>107</v>
      </c>
      <c r="F119" s="2" t="s">
        <v>31</v>
      </c>
      <c r="G119" s="2">
        <v>0</v>
      </c>
      <c r="H119" s="3">
        <v>1</v>
      </c>
      <c r="I119" s="3">
        <v>1</v>
      </c>
      <c r="J119" s="13">
        <v>1</v>
      </c>
      <c r="K119" s="3">
        <v>1</v>
      </c>
      <c r="L119" s="3">
        <v>1</v>
      </c>
      <c r="M119" s="3">
        <v>1</v>
      </c>
      <c r="N119" s="3">
        <v>0</v>
      </c>
      <c r="O119" s="3">
        <v>1</v>
      </c>
      <c r="P119" s="9" t="str">
        <f>BIN2HEX(""&amp;H119&amp;I119&amp;J119&amp;K119&amp;L119&amp;M119&amp;N119&amp;O119,2)</f>
        <v>FD</v>
      </c>
      <c r="Q119" s="2">
        <v>6</v>
      </c>
      <c r="R119" s="2" t="s">
        <v>163</v>
      </c>
      <c r="T119" s="2" t="s">
        <v>186</v>
      </c>
      <c r="V119" s="4" t="str">
        <f>$V$6</f>
        <v>PC.OE, ABUF.L, INC2.P, INC2.L</v>
      </c>
      <c r="W119" s="4" t="str">
        <f>$W$6</f>
        <v>INC2.P, INC2.OE, PC.L.INC2, DBUF.L.IN</v>
      </c>
      <c r="X119" s="4" t="str">
        <f>$X$6</f>
        <v>DBUF.L.IN, INSTR.L</v>
      </c>
      <c r="Y119" s="4" t="s">
        <v>45</v>
      </c>
      <c r="Z119" s="4" t="s">
        <v>46</v>
      </c>
      <c r="AA119" s="4" t="s">
        <v>35</v>
      </c>
      <c r="AB119" s="4" t="s">
        <v>36</v>
      </c>
      <c r="AC119" s="4" t="s">
        <v>37</v>
      </c>
      <c r="AD119" s="18" t="s">
        <v>45</v>
      </c>
      <c r="AE119" s="4" t="s">
        <v>46</v>
      </c>
      <c r="AF119" s="4" t="s">
        <v>35</v>
      </c>
      <c r="AG119" s="4" t="s">
        <v>36</v>
      </c>
      <c r="AH119" s="4" t="s">
        <v>61</v>
      </c>
      <c r="AI119" s="4" t="s">
        <v>46</v>
      </c>
      <c r="AJ119" s="4" t="s">
        <v>46</v>
      </c>
      <c r="AK119" s="4" t="s">
        <v>35</v>
      </c>
      <c r="AL119" s="4" t="s">
        <v>36</v>
      </c>
      <c r="AM119" s="4" t="s">
        <v>110</v>
      </c>
      <c r="AN119" s="18" t="s">
        <v>46</v>
      </c>
      <c r="AO119" s="4" t="s">
        <v>46</v>
      </c>
      <c r="AP119" s="4" t="s">
        <v>111</v>
      </c>
      <c r="AQ119" s="4" t="s">
        <v>112</v>
      </c>
      <c r="AR119" s="4" t="s">
        <v>187</v>
      </c>
      <c r="AS119" s="4" t="s">
        <v>46</v>
      </c>
      <c r="AT119" s="4" t="s">
        <v>46</v>
      </c>
      <c r="AU119" s="4" t="s">
        <v>159</v>
      </c>
      <c r="AV119" s="4" t="s">
        <v>160</v>
      </c>
      <c r="AW119" s="4" t="s">
        <v>188</v>
      </c>
      <c r="AX119" s="4" t="s">
        <v>46</v>
      </c>
      <c r="AY119" s="4" t="s">
        <v>46</v>
      </c>
    </row>
    <row r="120" spans="1:51">
      <c r="G120" s="2">
        <v>1</v>
      </c>
      <c r="H120" s="3">
        <v>0</v>
      </c>
      <c r="I120" s="3">
        <v>0</v>
      </c>
      <c r="J120" s="3">
        <v>1</v>
      </c>
      <c r="K120" s="3">
        <v>0</v>
      </c>
      <c r="L120" s="3">
        <v>0</v>
      </c>
      <c r="M120" s="3">
        <v>0</v>
      </c>
      <c r="N120" s="3">
        <v>1</v>
      </c>
      <c r="O120" s="3">
        <v>0</v>
      </c>
      <c r="P120" s="9" t="str">
        <f>BIN2HEX(""&amp;H120&amp;I120&amp;J120&amp;K120&amp;L120&amp;M120&amp;N120&amp;O120,2)</f>
        <v>22</v>
      </c>
    </row>
    <row r="121" spans="1:51">
      <c r="G121" s="2">
        <v>2</v>
      </c>
      <c r="H121" s="3" t="s">
        <v>48</v>
      </c>
      <c r="I121" s="3" t="s">
        <v>48</v>
      </c>
      <c r="J121" s="3" t="s">
        <v>48</v>
      </c>
      <c r="K121" s="3" t="s">
        <v>48</v>
      </c>
      <c r="L121" s="3" t="s">
        <v>48</v>
      </c>
      <c r="M121" s="3" t="s">
        <v>48</v>
      </c>
      <c r="N121" s="3" t="s">
        <v>48</v>
      </c>
      <c r="O121" s="3" t="s">
        <v>48</v>
      </c>
      <c r="P121" s="9"/>
    </row>
    <row r="122" spans="1:51">
      <c r="G122" s="2">
        <v>3</v>
      </c>
      <c r="H122" s="3" t="s">
        <v>48</v>
      </c>
      <c r="I122" s="3" t="s">
        <v>48</v>
      </c>
      <c r="J122" s="3" t="s">
        <v>48</v>
      </c>
      <c r="K122" s="3" t="s">
        <v>48</v>
      </c>
      <c r="L122" s="3" t="s">
        <v>48</v>
      </c>
      <c r="M122" s="3" t="s">
        <v>48</v>
      </c>
      <c r="N122" s="3" t="s">
        <v>48</v>
      </c>
      <c r="O122" s="3" t="s">
        <v>48</v>
      </c>
      <c r="P122" s="9"/>
    </row>
    <row r="123" spans="1:51">
      <c r="P123" s="9"/>
    </row>
    <row r="124" spans="1:51" ht="57">
      <c r="A124" s="2" t="s">
        <v>27</v>
      </c>
      <c r="B124" s="2" t="s">
        <v>189</v>
      </c>
      <c r="C124" s="2" t="s">
        <v>190</v>
      </c>
      <c r="D124" s="2" t="s">
        <v>155</v>
      </c>
      <c r="E124" s="2" t="s">
        <v>31</v>
      </c>
      <c r="F124" s="2" t="s">
        <v>31</v>
      </c>
      <c r="G124" s="2">
        <v>0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0</v>
      </c>
      <c r="N124" s="3">
        <v>0</v>
      </c>
      <c r="O124" s="3">
        <v>1</v>
      </c>
      <c r="P124" s="9" t="str">
        <f>BIN2HEX(""&amp;H124&amp;I124&amp;J124&amp;K124&amp;L124&amp;M124&amp;N124&amp;O124,2)</f>
        <v>F9</v>
      </c>
      <c r="Q124" s="2">
        <v>1</v>
      </c>
      <c r="R124" s="2">
        <v>6</v>
      </c>
      <c r="T124" s="2" t="s">
        <v>191</v>
      </c>
      <c r="V124" s="4" t="str">
        <f>$V$6</f>
        <v>PC.OE, ABUF.L, INC2.P, INC2.L</v>
      </c>
      <c r="W124" s="4" t="str">
        <f>$W$6</f>
        <v>INC2.P, INC2.OE, PC.L.INC2, DBUF.L.IN</v>
      </c>
      <c r="X124" s="4" t="str">
        <f>$X$6</f>
        <v>DBUF.L.IN, INSTR.L</v>
      </c>
      <c r="Y124" s="4" t="s">
        <v>45</v>
      </c>
      <c r="Z124" s="4" t="s">
        <v>192</v>
      </c>
      <c r="AA124" s="4" t="s">
        <v>193</v>
      </c>
    </row>
    <row r="125" spans="1:51">
      <c r="P125" s="9"/>
    </row>
    <row r="126" spans="1:51" ht="57">
      <c r="A126" s="2" t="s">
        <v>27</v>
      </c>
      <c r="B126" s="2" t="s">
        <v>194</v>
      </c>
      <c r="C126" s="2" t="s">
        <v>190</v>
      </c>
      <c r="D126" s="2" t="s">
        <v>144</v>
      </c>
      <c r="E126" s="2" t="s">
        <v>31</v>
      </c>
      <c r="F126" s="2" t="s">
        <v>31</v>
      </c>
      <c r="G126" s="2">
        <v>0</v>
      </c>
      <c r="H126" s="3">
        <v>1</v>
      </c>
      <c r="I126" s="3">
        <v>1</v>
      </c>
      <c r="J126" s="3">
        <v>0</v>
      </c>
      <c r="K126" s="3">
        <v>1</v>
      </c>
      <c r="L126" s="3">
        <v>1</v>
      </c>
      <c r="M126" s="3">
        <v>1</v>
      </c>
      <c r="N126" s="3">
        <v>0</v>
      </c>
      <c r="O126" s="3">
        <v>1</v>
      </c>
      <c r="P126" s="9" t="str">
        <f>BIN2HEX(""&amp;H126&amp;I126&amp;J126&amp;K126&amp;L126&amp;M126&amp;N126&amp;O126,2)</f>
        <v>DD</v>
      </c>
      <c r="Q126" s="2">
        <v>2</v>
      </c>
      <c r="R126" s="2" t="s">
        <v>195</v>
      </c>
      <c r="T126" s="2" t="s">
        <v>196</v>
      </c>
      <c r="V126" s="4" t="str">
        <f>$V$6</f>
        <v>PC.OE, ABUF.L, INC2.P, INC2.L</v>
      </c>
      <c r="W126" s="4" t="str">
        <f>$W$6</f>
        <v>INC2.P, INC2.OE, PC.L.INC2, DBUF.L.IN</v>
      </c>
      <c r="X126" s="4" t="str">
        <f>$X$6</f>
        <v>DBUF.L.IN, INSTR.L</v>
      </c>
      <c r="Y126" s="4" t="s">
        <v>45</v>
      </c>
      <c r="Z126" s="4" t="s">
        <v>197</v>
      </c>
      <c r="AA126" s="4" t="s">
        <v>198</v>
      </c>
    </row>
    <row r="127" spans="1:51">
      <c r="H127" s="3">
        <v>1</v>
      </c>
      <c r="I127" s="3">
        <v>1</v>
      </c>
      <c r="J127" s="3">
        <v>1</v>
      </c>
      <c r="K127" s="3">
        <v>1</v>
      </c>
      <c r="L127" s="3">
        <v>1</v>
      </c>
      <c r="M127" s="3">
        <v>0</v>
      </c>
      <c r="N127" s="3">
        <v>0</v>
      </c>
      <c r="O127" s="3">
        <v>1</v>
      </c>
      <c r="P127" s="9" t="str">
        <f>BIN2HEX(""&amp;H127&amp;I127&amp;J127&amp;K127&amp;L127&amp;M127&amp;N127&amp;O127,2)</f>
        <v>F9</v>
      </c>
    </row>
    <row r="128" spans="1:51">
      <c r="P128" s="9"/>
    </row>
    <row r="129" spans="1:41" ht="57">
      <c r="A129" s="2" t="s">
        <v>27</v>
      </c>
      <c r="B129" s="2" t="s">
        <v>199</v>
      </c>
      <c r="C129" s="2" t="s">
        <v>190</v>
      </c>
      <c r="D129" s="2" t="s">
        <v>150</v>
      </c>
      <c r="E129" s="2" t="s">
        <v>31</v>
      </c>
      <c r="F129" s="2" t="s">
        <v>31</v>
      </c>
      <c r="G129" s="2">
        <v>0</v>
      </c>
      <c r="H129" s="3">
        <v>1</v>
      </c>
      <c r="I129" s="3">
        <v>1</v>
      </c>
      <c r="J129" s="3">
        <v>1</v>
      </c>
      <c r="K129" s="3">
        <v>1</v>
      </c>
      <c r="L129" s="3">
        <v>1</v>
      </c>
      <c r="M129" s="3">
        <v>1</v>
      </c>
      <c r="N129" s="3">
        <v>0</v>
      </c>
      <c r="O129" s="3">
        <v>1</v>
      </c>
      <c r="P129" s="9" t="str">
        <f>BIN2HEX(""&amp;H129&amp;I129&amp;J129&amp;K129&amp;L129&amp;M129&amp;N129&amp;O129,2)</f>
        <v>FD</v>
      </c>
      <c r="Q129" s="2">
        <v>2</v>
      </c>
      <c r="R129" s="2" t="s">
        <v>195</v>
      </c>
      <c r="T129" s="2" t="s">
        <v>200</v>
      </c>
      <c r="V129" s="4" t="str">
        <f>$V$6</f>
        <v>PC.OE, ABUF.L, INC2.P, INC2.L</v>
      </c>
      <c r="W129" s="4" t="str">
        <f>$W$6</f>
        <v>INC2.P, INC2.OE, PC.L.INC2, DBUF.L.IN</v>
      </c>
      <c r="X129" s="4" t="str">
        <f>$X$6</f>
        <v>DBUF.L.IN, INSTR.L</v>
      </c>
      <c r="Y129" s="4" t="s">
        <v>45</v>
      </c>
      <c r="Z129" s="4" t="s">
        <v>201</v>
      </c>
      <c r="AA129" s="4" t="s">
        <v>202</v>
      </c>
    </row>
    <row r="130" spans="1:41">
      <c r="H130" s="3">
        <v>1</v>
      </c>
      <c r="I130" s="3">
        <v>1</v>
      </c>
      <c r="J130" s="3">
        <v>1</v>
      </c>
      <c r="K130" s="3">
        <v>1</v>
      </c>
      <c r="L130" s="3">
        <v>1</v>
      </c>
      <c r="M130" s="3">
        <v>0</v>
      </c>
      <c r="N130" s="3">
        <v>0</v>
      </c>
      <c r="O130" s="3">
        <v>1</v>
      </c>
      <c r="P130" s="9" t="str">
        <f>BIN2HEX(""&amp;H130&amp;I130&amp;J130&amp;K130&amp;L130&amp;M130&amp;N130&amp;O130,2)</f>
        <v>F9</v>
      </c>
    </row>
    <row r="131" spans="1:41">
      <c r="P131" s="9"/>
    </row>
    <row r="132" spans="1:41" ht="57">
      <c r="A132" s="2" t="s">
        <v>203</v>
      </c>
      <c r="B132" s="2" t="s">
        <v>204</v>
      </c>
      <c r="C132" s="2" t="s">
        <v>205</v>
      </c>
      <c r="E132" s="2" t="s">
        <v>31</v>
      </c>
      <c r="G132" s="2">
        <v>0</v>
      </c>
      <c r="H132" s="3">
        <v>1</v>
      </c>
      <c r="I132" s="3">
        <v>1</v>
      </c>
      <c r="J132" s="3" t="s">
        <v>206</v>
      </c>
      <c r="K132" s="3" t="s">
        <v>206</v>
      </c>
      <c r="L132" s="3">
        <v>0</v>
      </c>
      <c r="M132" s="3">
        <v>1</v>
      </c>
      <c r="N132" s="3">
        <v>0</v>
      </c>
      <c r="O132" s="3">
        <v>1</v>
      </c>
      <c r="P132" s="9"/>
      <c r="Q132" s="2">
        <v>3</v>
      </c>
      <c r="R132" s="2" t="s">
        <v>207</v>
      </c>
      <c r="T132" s="2" t="s">
        <v>208</v>
      </c>
      <c r="V132" s="4" t="str">
        <f>$V$6</f>
        <v>PC.OE, ABUF.L, INC2.P, INC2.L</v>
      </c>
      <c r="W132" s="4" t="str">
        <f>$W$6</f>
        <v>INC2.P, INC2.OE, PC.L.INC2, DBUF.L.IN</v>
      </c>
      <c r="X132" s="4" t="str">
        <f>$X$6</f>
        <v>DBUF.L.IN, INSTR.L</v>
      </c>
      <c r="Y132" s="4" t="s">
        <v>45</v>
      </c>
      <c r="Z132" s="4" t="s">
        <v>209</v>
      </c>
      <c r="AA132" s="4" t="s">
        <v>210</v>
      </c>
      <c r="AB132" s="4" t="s">
        <v>211</v>
      </c>
      <c r="AC132" s="4" t="s">
        <v>212</v>
      </c>
      <c r="AD132" s="4" t="s">
        <v>46</v>
      </c>
      <c r="AE132" s="4" t="s">
        <v>46</v>
      </c>
      <c r="AF132" s="4" t="s">
        <v>210</v>
      </c>
      <c r="AG132" s="4" t="s">
        <v>213</v>
      </c>
      <c r="AH132" s="4" t="s">
        <v>214</v>
      </c>
      <c r="AI132" s="4" t="s">
        <v>46</v>
      </c>
      <c r="AJ132" s="4" t="s">
        <v>46</v>
      </c>
    </row>
    <row r="133" spans="1:41">
      <c r="P133" s="9"/>
    </row>
    <row r="134" spans="1:41" ht="57">
      <c r="A134" s="2" t="s">
        <v>203</v>
      </c>
      <c r="B134" s="2" t="s">
        <v>215</v>
      </c>
      <c r="C134" s="2" t="s">
        <v>144</v>
      </c>
      <c r="E134" s="2" t="s">
        <v>31</v>
      </c>
      <c r="G134" s="2">
        <v>0</v>
      </c>
      <c r="H134" s="3">
        <v>1</v>
      </c>
      <c r="I134" s="3">
        <v>1</v>
      </c>
      <c r="J134" s="13">
        <v>0</v>
      </c>
      <c r="K134" s="3">
        <v>1</v>
      </c>
      <c r="L134" s="3">
        <v>1</v>
      </c>
      <c r="M134" s="3">
        <v>1</v>
      </c>
      <c r="N134" s="3">
        <v>0</v>
      </c>
      <c r="O134" s="3">
        <v>1</v>
      </c>
      <c r="P134" s="9" t="str">
        <f>BIN2HEX(""&amp;H134&amp;I134&amp;J134&amp;K134&amp;L134&amp;M134&amp;N134&amp;O134,2)</f>
        <v>DD</v>
      </c>
      <c r="Q134" s="2">
        <v>4</v>
      </c>
      <c r="R134" s="2" t="s">
        <v>216</v>
      </c>
      <c r="T134" s="2" t="s">
        <v>217</v>
      </c>
      <c r="U134" s="14" t="s">
        <v>60</v>
      </c>
      <c r="V134" s="4" t="str">
        <f>$V$6</f>
        <v>PC.OE, ABUF.L, INC2.P, INC2.L</v>
      </c>
      <c r="W134" s="4" t="str">
        <f>$W$6</f>
        <v>INC2.P, INC2.OE, PC.L.INC2, DBUF.L.IN</v>
      </c>
      <c r="X134" s="4" t="str">
        <f>$X$6</f>
        <v>DBUF.L.IN, INSTR.L</v>
      </c>
      <c r="Y134" s="4" t="s">
        <v>45</v>
      </c>
      <c r="Z134" s="4" t="s">
        <v>46</v>
      </c>
      <c r="AA134" s="4" t="str">
        <f>$V$6</f>
        <v>PC.OE, ABUF.L, INC2.P, INC2.L</v>
      </c>
      <c r="AB134" s="4" t="str">
        <f>$W$6</f>
        <v>INC2.P, INC2.OE, PC.L.INC2, DBUF.L.IN</v>
      </c>
      <c r="AC134" s="4" t="str">
        <f>$X$6</f>
        <v>DBUF.L.IN, INSTR.L</v>
      </c>
      <c r="AD134" s="4" t="s">
        <v>45</v>
      </c>
      <c r="AE134" s="4" t="s">
        <v>209</v>
      </c>
      <c r="AF134" s="4" t="s">
        <v>210</v>
      </c>
      <c r="AG134" s="4" t="s">
        <v>218</v>
      </c>
      <c r="AH134" s="4" t="s">
        <v>219</v>
      </c>
      <c r="AI134" s="4" t="s">
        <v>46</v>
      </c>
      <c r="AJ134" s="4" t="s">
        <v>46</v>
      </c>
      <c r="AK134" s="4" t="s">
        <v>210</v>
      </c>
      <c r="AL134" s="4" t="s">
        <v>220</v>
      </c>
      <c r="AM134" s="4" t="s">
        <v>182</v>
      </c>
      <c r="AN134" s="4" t="s">
        <v>46</v>
      </c>
      <c r="AO134" s="4" t="s">
        <v>46</v>
      </c>
    </row>
    <row r="135" spans="1:41">
      <c r="G135" s="2">
        <v>1</v>
      </c>
      <c r="H135" s="3">
        <v>1</v>
      </c>
      <c r="I135" s="3">
        <v>1</v>
      </c>
      <c r="J135" s="3">
        <v>1</v>
      </c>
      <c r="K135" s="3">
        <v>0</v>
      </c>
      <c r="L135" s="3">
        <v>0</v>
      </c>
      <c r="M135" s="3">
        <v>1</v>
      </c>
      <c r="N135" s="3">
        <v>0</v>
      </c>
      <c r="O135" s="3">
        <v>1</v>
      </c>
      <c r="P135" s="9" t="str">
        <f>BIN2HEX(""&amp;H135&amp;I135&amp;J135&amp;K135&amp;L135&amp;M135&amp;N135&amp;O135,2)</f>
        <v>E5</v>
      </c>
    </row>
    <row r="136" spans="1:41">
      <c r="P136" s="9"/>
    </row>
    <row r="137" spans="1:41" ht="57">
      <c r="A137" s="2" t="s">
        <v>203</v>
      </c>
      <c r="B137" s="2" t="s">
        <v>221</v>
      </c>
      <c r="C137" s="2" t="s">
        <v>150</v>
      </c>
      <c r="E137" s="2" t="s">
        <v>31</v>
      </c>
      <c r="G137" s="2">
        <v>0</v>
      </c>
      <c r="H137" s="3">
        <v>1</v>
      </c>
      <c r="I137" s="3">
        <v>1</v>
      </c>
      <c r="J137" s="13">
        <v>1</v>
      </c>
      <c r="K137" s="3">
        <v>1</v>
      </c>
      <c r="L137" s="3">
        <v>1</v>
      </c>
      <c r="M137" s="3">
        <v>1</v>
      </c>
      <c r="N137" s="3">
        <v>0</v>
      </c>
      <c r="O137" s="3">
        <v>1</v>
      </c>
      <c r="P137" s="9" t="str">
        <f>BIN2HEX(""&amp;H137&amp;I137&amp;J137&amp;K137&amp;L137&amp;M137&amp;N137&amp;O137,2)</f>
        <v>FD</v>
      </c>
      <c r="Q137" s="2">
        <v>4</v>
      </c>
      <c r="R137" s="2" t="s">
        <v>216</v>
      </c>
      <c r="T137" s="2" t="s">
        <v>222</v>
      </c>
      <c r="V137" s="4" t="str">
        <f>$V$6</f>
        <v>PC.OE, ABUF.L, INC2.P, INC2.L</v>
      </c>
      <c r="W137" s="4" t="str">
        <f>$W$6</f>
        <v>INC2.P, INC2.OE, PC.L.INC2, DBUF.L.IN</v>
      </c>
      <c r="X137" s="4" t="str">
        <f>$X$6</f>
        <v>DBUF.L.IN, INSTR.L</v>
      </c>
      <c r="Y137" s="4" t="s">
        <v>45</v>
      </c>
      <c r="Z137" s="4" t="s">
        <v>46</v>
      </c>
      <c r="AA137" s="4" t="str">
        <f>$V$6</f>
        <v>PC.OE, ABUF.L, INC2.P, INC2.L</v>
      </c>
      <c r="AB137" s="4" t="str">
        <f>$W$6</f>
        <v>INC2.P, INC2.OE, PC.L.INC2, DBUF.L.IN</v>
      </c>
      <c r="AC137" s="4" t="str">
        <f>$X$6</f>
        <v>DBUF.L.IN, INSTR.L</v>
      </c>
      <c r="AD137" s="4" t="s">
        <v>45</v>
      </c>
      <c r="AE137" s="4" t="s">
        <v>209</v>
      </c>
      <c r="AF137" s="4" t="s">
        <v>210</v>
      </c>
      <c r="AG137" s="4" t="s">
        <v>223</v>
      </c>
      <c r="AH137" s="4" t="s">
        <v>224</v>
      </c>
      <c r="AI137" s="4" t="s">
        <v>46</v>
      </c>
      <c r="AJ137" s="4" t="s">
        <v>46</v>
      </c>
      <c r="AK137" s="4" t="s">
        <v>210</v>
      </c>
      <c r="AL137" s="4" t="s">
        <v>225</v>
      </c>
      <c r="AM137" s="4" t="s">
        <v>187</v>
      </c>
      <c r="AN137" s="4" t="s">
        <v>46</v>
      </c>
      <c r="AO137" s="4" t="s">
        <v>46</v>
      </c>
    </row>
    <row r="138" spans="1:41">
      <c r="G138" s="2">
        <v>1</v>
      </c>
      <c r="H138" s="3">
        <v>1</v>
      </c>
      <c r="I138" s="3">
        <v>1</v>
      </c>
      <c r="J138" s="3">
        <v>1</v>
      </c>
      <c r="K138" s="3">
        <v>0</v>
      </c>
      <c r="L138" s="3">
        <v>0</v>
      </c>
      <c r="M138" s="3">
        <v>1</v>
      </c>
      <c r="N138" s="3">
        <v>0</v>
      </c>
      <c r="O138" s="3">
        <v>1</v>
      </c>
      <c r="P138" s="9" t="str">
        <f>BIN2HEX(""&amp;H138&amp;I138&amp;J138&amp;K138&amp;L138&amp;M138&amp;N138&amp;O138,2)</f>
        <v>E5</v>
      </c>
    </row>
    <row r="139" spans="1:41">
      <c r="P139" s="9"/>
    </row>
    <row r="140" spans="1:41" ht="71.25">
      <c r="A140" s="2" t="s">
        <v>226</v>
      </c>
      <c r="B140" s="2" t="s">
        <v>227</v>
      </c>
      <c r="C140" s="2" t="s">
        <v>205</v>
      </c>
      <c r="E140" s="2" t="s">
        <v>31</v>
      </c>
      <c r="G140" s="2">
        <v>0</v>
      </c>
      <c r="H140" s="3">
        <v>1</v>
      </c>
      <c r="I140" s="3">
        <v>1</v>
      </c>
      <c r="J140" s="3" t="s">
        <v>206</v>
      </c>
      <c r="K140" s="3" t="s">
        <v>206</v>
      </c>
      <c r="L140" s="3">
        <v>0</v>
      </c>
      <c r="M140" s="3">
        <v>0</v>
      </c>
      <c r="N140" s="3">
        <v>0</v>
      </c>
      <c r="O140" s="3">
        <v>1</v>
      </c>
      <c r="P140" s="9"/>
      <c r="Q140" s="2">
        <v>3</v>
      </c>
      <c r="R140" s="2" t="s">
        <v>81</v>
      </c>
      <c r="T140" s="2" t="s">
        <v>228</v>
      </c>
      <c r="V140" s="4" t="str">
        <f>$V$6</f>
        <v>PC.OE, ABUF.L, INC2.P, INC2.L</v>
      </c>
      <c r="W140" s="4" t="str">
        <f>$W$6</f>
        <v>INC2.P, INC2.OE, PC.L.INC2, DBUF.L.IN</v>
      </c>
      <c r="X140" s="4" t="str">
        <f>$X$6</f>
        <v>DBUF.L.IN, INSTR.L</v>
      </c>
      <c r="Y140" s="4" t="s">
        <v>45</v>
      </c>
      <c r="Z140"/>
      <c r="AA140" s="4" t="s">
        <v>229</v>
      </c>
      <c r="AB140" s="4" t="s">
        <v>230</v>
      </c>
      <c r="AC140" s="4" t="s">
        <v>231</v>
      </c>
      <c r="AD140" s="4" t="s">
        <v>46</v>
      </c>
      <c r="AE140" s="4" t="s">
        <v>46</v>
      </c>
      <c r="AF140" s="4" t="s">
        <v>229</v>
      </c>
      <c r="AG140" s="4" t="s">
        <v>232</v>
      </c>
      <c r="AH140" s="4" t="s">
        <v>231</v>
      </c>
      <c r="AI140" s="4" t="s">
        <v>46</v>
      </c>
      <c r="AJ140" s="4" t="s">
        <v>46</v>
      </c>
    </row>
    <row r="141" spans="1:41">
      <c r="P141" s="9"/>
    </row>
    <row r="142" spans="1:41" ht="71.25">
      <c r="A142" s="2" t="s">
        <v>226</v>
      </c>
      <c r="B142" s="2" t="s">
        <v>233</v>
      </c>
      <c r="C142" s="2" t="s">
        <v>144</v>
      </c>
      <c r="E142" s="2" t="s">
        <v>31</v>
      </c>
      <c r="G142" s="2">
        <v>0</v>
      </c>
      <c r="H142" s="3">
        <v>1</v>
      </c>
      <c r="I142" s="3">
        <v>1</v>
      </c>
      <c r="J142" s="13">
        <v>0</v>
      </c>
      <c r="K142" s="3">
        <v>1</v>
      </c>
      <c r="L142" s="3">
        <v>1</v>
      </c>
      <c r="M142" s="3">
        <v>1</v>
      </c>
      <c r="N142" s="3">
        <v>0</v>
      </c>
      <c r="O142" s="3">
        <v>1</v>
      </c>
      <c r="P142" s="9" t="str">
        <f>BIN2HEX(""&amp;H142&amp;I142&amp;J142&amp;K142&amp;L142&amp;M142&amp;N142&amp;O142,2)</f>
        <v>DD</v>
      </c>
      <c r="Q142" s="2">
        <v>4</v>
      </c>
      <c r="R142" s="2" t="s">
        <v>145</v>
      </c>
      <c r="T142" s="2" t="s">
        <v>234</v>
      </c>
      <c r="V142" s="4" t="str">
        <f>$V$6</f>
        <v>PC.OE, ABUF.L, INC2.P, INC2.L</v>
      </c>
      <c r="W142" s="4" t="str">
        <f>$W$6</f>
        <v>INC2.P, INC2.OE, PC.L.INC2, DBUF.L.IN</v>
      </c>
      <c r="X142" s="4" t="str">
        <f>$X$6</f>
        <v>DBUF.L.IN, INSTR.L</v>
      </c>
      <c r="Y142" s="4" t="s">
        <v>45</v>
      </c>
      <c r="Z142" s="4" t="s">
        <v>46</v>
      </c>
      <c r="AA142" s="4" t="str">
        <f>$V$6</f>
        <v>PC.OE, ABUF.L, INC2.P, INC2.L</v>
      </c>
      <c r="AB142" s="4" t="str">
        <f>$W$6</f>
        <v>INC2.P, INC2.OE, PC.L.INC2, DBUF.L.IN</v>
      </c>
      <c r="AC142" s="4" t="str">
        <f>$X$6</f>
        <v>DBUF.L.IN, INSTR.L</v>
      </c>
      <c r="AD142" s="4" t="s">
        <v>45</v>
      </c>
      <c r="AE142"/>
      <c r="AF142" s="4" t="s">
        <v>229</v>
      </c>
      <c r="AG142" s="4" t="s">
        <v>147</v>
      </c>
      <c r="AH142" s="4" t="s">
        <v>231</v>
      </c>
      <c r="AI142" s="4" t="s">
        <v>46</v>
      </c>
      <c r="AJ142" s="4" t="s">
        <v>46</v>
      </c>
      <c r="AK142" s="4" t="s">
        <v>229</v>
      </c>
      <c r="AL142" s="4" t="s">
        <v>148</v>
      </c>
      <c r="AM142" s="4" t="s">
        <v>231</v>
      </c>
      <c r="AN142" s="4" t="s">
        <v>46</v>
      </c>
      <c r="AO142" s="4" t="s">
        <v>46</v>
      </c>
    </row>
    <row r="143" spans="1:41">
      <c r="G143" s="2">
        <v>1</v>
      </c>
      <c r="H143" s="3">
        <v>1</v>
      </c>
      <c r="I143" s="3">
        <v>1</v>
      </c>
      <c r="J143" s="3">
        <v>1</v>
      </c>
      <c r="K143" s="3">
        <v>0</v>
      </c>
      <c r="L143" s="3">
        <v>0</v>
      </c>
      <c r="M143" s="3">
        <v>0</v>
      </c>
      <c r="N143" s="3">
        <v>0</v>
      </c>
      <c r="O143" s="3">
        <v>1</v>
      </c>
      <c r="P143" s="9" t="str">
        <f>BIN2HEX(""&amp;H143&amp;I143&amp;J143&amp;K143&amp;L143&amp;M143&amp;N143&amp;O143,2)</f>
        <v>E1</v>
      </c>
    </row>
    <row r="144" spans="1:41">
      <c r="P144" s="9"/>
    </row>
    <row r="145" spans="1:41" ht="71.25">
      <c r="A145" s="2" t="s">
        <v>226</v>
      </c>
      <c r="B145" s="2" t="s">
        <v>235</v>
      </c>
      <c r="C145" s="2" t="s">
        <v>150</v>
      </c>
      <c r="E145" s="2" t="s">
        <v>31</v>
      </c>
      <c r="G145" s="2">
        <v>0</v>
      </c>
      <c r="H145" s="3">
        <v>1</v>
      </c>
      <c r="I145" s="3">
        <v>1</v>
      </c>
      <c r="J145" s="13">
        <v>1</v>
      </c>
      <c r="K145" s="3">
        <v>1</v>
      </c>
      <c r="L145" s="3">
        <v>1</v>
      </c>
      <c r="M145" s="3">
        <v>1</v>
      </c>
      <c r="N145" s="3">
        <v>0</v>
      </c>
      <c r="O145" s="3">
        <v>1</v>
      </c>
      <c r="P145" s="9" t="str">
        <f>BIN2HEX(""&amp;H145&amp;I145&amp;J145&amp;K145&amp;L145&amp;M145&amp;N145&amp;O145,2)</f>
        <v>FD</v>
      </c>
      <c r="Q145" s="2">
        <v>4</v>
      </c>
      <c r="R145" s="2" t="s">
        <v>145</v>
      </c>
      <c r="T145" s="2" t="s">
        <v>236</v>
      </c>
      <c r="V145" s="4" t="str">
        <f>$V$6</f>
        <v>PC.OE, ABUF.L, INC2.P, INC2.L</v>
      </c>
      <c r="W145" s="4" t="str">
        <f>$W$6</f>
        <v>INC2.P, INC2.OE, PC.L.INC2, DBUF.L.IN</v>
      </c>
      <c r="X145" s="4" t="str">
        <f>$X$6</f>
        <v>DBUF.L.IN, INSTR.L</v>
      </c>
      <c r="Y145" s="4" t="s">
        <v>45</v>
      </c>
      <c r="Z145" s="4" t="s">
        <v>46</v>
      </c>
      <c r="AA145" s="4" t="str">
        <f>$V$6</f>
        <v>PC.OE, ABUF.L, INC2.P, INC2.L</v>
      </c>
      <c r="AB145" s="4" t="str">
        <f>$W$6</f>
        <v>INC2.P, INC2.OE, PC.L.INC2, DBUF.L.IN</v>
      </c>
      <c r="AC145" s="4" t="str">
        <f>$X$6</f>
        <v>DBUF.L.IN, INSTR.L</v>
      </c>
      <c r="AD145" s="4" t="s">
        <v>45</v>
      </c>
      <c r="AE145"/>
      <c r="AF145" s="4" t="s">
        <v>229</v>
      </c>
      <c r="AG145" s="4" t="s">
        <v>152</v>
      </c>
      <c r="AH145" s="4" t="s">
        <v>231</v>
      </c>
      <c r="AI145" s="4" t="s">
        <v>46</v>
      </c>
      <c r="AJ145" s="4" t="s">
        <v>46</v>
      </c>
      <c r="AK145" s="4" t="s">
        <v>229</v>
      </c>
      <c r="AL145" s="4" t="s">
        <v>153</v>
      </c>
      <c r="AM145" s="4" t="s">
        <v>231</v>
      </c>
      <c r="AN145" s="4" t="s">
        <v>46</v>
      </c>
      <c r="AO145" s="4" t="s">
        <v>46</v>
      </c>
    </row>
    <row r="146" spans="1:41">
      <c r="G146" s="2">
        <v>1</v>
      </c>
      <c r="H146" s="3">
        <v>1</v>
      </c>
      <c r="I146" s="3">
        <v>1</v>
      </c>
      <c r="J146" s="3">
        <v>1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9" t="str">
        <f>BIN2HEX(""&amp;H146&amp;I146&amp;J146&amp;K146&amp;L146&amp;M146&amp;N146&amp;O146,2)</f>
        <v>E1</v>
      </c>
    </row>
    <row r="147" spans="1:41">
      <c r="P147" s="9"/>
    </row>
    <row r="148" spans="1:41">
      <c r="A148" s="2" t="s">
        <v>237</v>
      </c>
      <c r="B148" s="2" t="s">
        <v>238</v>
      </c>
      <c r="C148" s="2" t="s">
        <v>239</v>
      </c>
      <c r="D148" s="2" t="s">
        <v>155</v>
      </c>
      <c r="E148" s="2" t="s">
        <v>31</v>
      </c>
      <c r="F148" s="2" t="s">
        <v>31</v>
      </c>
      <c r="G148" s="2">
        <v>0</v>
      </c>
      <c r="H148" s="3">
        <v>1</v>
      </c>
      <c r="I148" s="3">
        <v>1</v>
      </c>
      <c r="J148" s="3">
        <v>1</v>
      </c>
      <c r="K148" s="3">
        <v>0</v>
      </c>
      <c r="L148" s="3">
        <v>1</v>
      </c>
      <c r="M148" s="3">
        <v>0</v>
      </c>
      <c r="N148" s="3">
        <v>1</v>
      </c>
      <c r="O148" s="3">
        <v>1</v>
      </c>
      <c r="P148" s="9" t="str">
        <f>BIN2HEX(""&amp;H148&amp;I148&amp;J148&amp;K148&amp;L148&amp;M148&amp;N148&amp;O148,2)</f>
        <v>EB</v>
      </c>
      <c r="Q148" s="2">
        <v>1</v>
      </c>
      <c r="R148" s="2">
        <v>4</v>
      </c>
      <c r="T148" s="2" t="s">
        <v>240</v>
      </c>
    </row>
    <row r="149" spans="1:41">
      <c r="P149" s="9"/>
    </row>
    <row r="150" spans="1:41">
      <c r="A150" s="2" t="s">
        <v>237</v>
      </c>
      <c r="B150" s="2" t="s">
        <v>241</v>
      </c>
      <c r="C150" s="2" t="s">
        <v>242</v>
      </c>
      <c r="D150" s="2" t="s">
        <v>243</v>
      </c>
      <c r="E150" s="2" t="s">
        <v>31</v>
      </c>
      <c r="F150" s="2" t="s">
        <v>31</v>
      </c>
      <c r="G150" s="2">
        <v>0</v>
      </c>
      <c r="H150" s="3">
        <v>0</v>
      </c>
      <c r="I150" s="3">
        <v>0</v>
      </c>
      <c r="J150" s="3">
        <v>0</v>
      </c>
      <c r="K150" s="3">
        <v>0</v>
      </c>
      <c r="L150" s="3">
        <v>1</v>
      </c>
      <c r="M150" s="3">
        <v>0</v>
      </c>
      <c r="N150" s="3">
        <v>0</v>
      </c>
      <c r="O150" s="3">
        <v>0</v>
      </c>
      <c r="P150" s="9" t="str">
        <f>BIN2HEX(""&amp;H150&amp;I150&amp;J150&amp;K150&amp;L150&amp;M150&amp;N150&amp;O150,2)</f>
        <v>08</v>
      </c>
      <c r="Q150" s="2">
        <v>1</v>
      </c>
      <c r="R150" s="2">
        <v>4</v>
      </c>
      <c r="T150" s="2" t="s">
        <v>244</v>
      </c>
    </row>
    <row r="151" spans="1:41">
      <c r="P151" s="9"/>
    </row>
    <row r="152" spans="1:41">
      <c r="A152" s="2" t="s">
        <v>245</v>
      </c>
      <c r="B152" s="2" t="s">
        <v>245</v>
      </c>
      <c r="G152" s="2">
        <v>0</v>
      </c>
      <c r="H152" s="3">
        <v>1</v>
      </c>
      <c r="I152" s="3">
        <v>1</v>
      </c>
      <c r="J152" s="3">
        <v>0</v>
      </c>
      <c r="K152" s="3">
        <v>1</v>
      </c>
      <c r="L152" s="3">
        <v>1</v>
      </c>
      <c r="M152" s="3">
        <v>0</v>
      </c>
      <c r="N152" s="3">
        <v>0</v>
      </c>
      <c r="O152" s="3">
        <v>1</v>
      </c>
      <c r="P152" s="9" t="str">
        <f>BIN2HEX(""&amp;H152&amp;I152&amp;J152&amp;K152&amp;L152&amp;M152&amp;N152&amp;O152,2)</f>
        <v>D9</v>
      </c>
      <c r="Q152" s="2">
        <v>1</v>
      </c>
      <c r="R152" s="2">
        <v>4</v>
      </c>
      <c r="T152" s="2" t="s">
        <v>246</v>
      </c>
    </row>
    <row r="153" spans="1:41">
      <c r="P153" s="9"/>
    </row>
    <row r="154" spans="1:41">
      <c r="A154" s="2" t="s">
        <v>237</v>
      </c>
      <c r="B154" s="2" t="s">
        <v>247</v>
      </c>
      <c r="C154" s="2" t="s">
        <v>248</v>
      </c>
      <c r="D154" s="2" t="s">
        <v>155</v>
      </c>
      <c r="E154" s="2" t="s">
        <v>51</v>
      </c>
      <c r="F154" s="2" t="s">
        <v>31</v>
      </c>
      <c r="G154" s="2">
        <v>0</v>
      </c>
      <c r="H154" s="3">
        <v>1</v>
      </c>
      <c r="I154" s="3">
        <v>1</v>
      </c>
      <c r="J154" s="3">
        <v>1</v>
      </c>
      <c r="K154" s="3">
        <v>0</v>
      </c>
      <c r="L154" s="3">
        <v>0</v>
      </c>
      <c r="M154" s="3">
        <v>0</v>
      </c>
      <c r="N154" s="3">
        <v>1</v>
      </c>
      <c r="O154" s="3">
        <v>1</v>
      </c>
      <c r="P154" s="9" t="str">
        <f>BIN2HEX(""&amp;H154&amp;I154&amp;J154&amp;K154&amp;L154&amp;M154&amp;N154&amp;O154,2)</f>
        <v>E3</v>
      </c>
      <c r="Q154" s="2">
        <v>5</v>
      </c>
      <c r="R154" s="2" t="s">
        <v>249</v>
      </c>
      <c r="T154" s="2" t="s">
        <v>250</v>
      </c>
    </row>
    <row r="155" spans="1:41">
      <c r="P155" s="9"/>
    </row>
    <row r="156" spans="1:41">
      <c r="A156" s="2" t="s">
        <v>237</v>
      </c>
      <c r="B156" s="2" t="s">
        <v>251</v>
      </c>
      <c r="C156" s="2" t="s">
        <v>248</v>
      </c>
      <c r="D156" s="2" t="s">
        <v>144</v>
      </c>
      <c r="E156" s="2" t="s">
        <v>51</v>
      </c>
      <c r="F156" s="2" t="s">
        <v>31</v>
      </c>
      <c r="G156" s="2">
        <v>0</v>
      </c>
      <c r="H156" s="3">
        <v>1</v>
      </c>
      <c r="I156" s="3">
        <v>1</v>
      </c>
      <c r="J156" s="13">
        <v>0</v>
      </c>
      <c r="K156" s="3">
        <v>1</v>
      </c>
      <c r="L156" s="3">
        <v>1</v>
      </c>
      <c r="M156" s="3">
        <v>1</v>
      </c>
      <c r="N156" s="3">
        <v>0</v>
      </c>
      <c r="O156" s="3">
        <v>1</v>
      </c>
      <c r="P156" s="9" t="str">
        <f>BIN2HEX(""&amp;H156&amp;I156&amp;J156&amp;K156&amp;L156&amp;M156&amp;N156&amp;O156,2)</f>
        <v>DD</v>
      </c>
      <c r="Q156" s="2">
        <v>6</v>
      </c>
      <c r="R156" s="2" t="s">
        <v>252</v>
      </c>
      <c r="T156" s="2" t="s">
        <v>253</v>
      </c>
    </row>
    <row r="157" spans="1:41">
      <c r="H157" s="3">
        <v>1</v>
      </c>
      <c r="I157" s="3">
        <v>1</v>
      </c>
      <c r="J157" s="3">
        <v>1</v>
      </c>
      <c r="K157" s="3">
        <v>0</v>
      </c>
      <c r="L157" s="3">
        <v>0</v>
      </c>
      <c r="M157" s="3">
        <v>0</v>
      </c>
      <c r="N157" s="3">
        <v>1</v>
      </c>
      <c r="O157" s="3">
        <v>1</v>
      </c>
      <c r="P157" s="9" t="str">
        <f>BIN2HEX(""&amp;H157&amp;I157&amp;J157&amp;K157&amp;L157&amp;M157&amp;N157&amp;O157,2)</f>
        <v>E3</v>
      </c>
    </row>
    <row r="158" spans="1:41">
      <c r="P158" s="9"/>
    </row>
    <row r="159" spans="1:41">
      <c r="A159" s="2" t="s">
        <v>237</v>
      </c>
      <c r="B159" s="2" t="s">
        <v>254</v>
      </c>
      <c r="C159" s="2" t="s">
        <v>248</v>
      </c>
      <c r="D159" s="2" t="s">
        <v>150</v>
      </c>
      <c r="E159" s="2" t="s">
        <v>51</v>
      </c>
      <c r="F159" s="2" t="s">
        <v>31</v>
      </c>
      <c r="G159" s="2">
        <v>0</v>
      </c>
      <c r="H159" s="3">
        <v>1</v>
      </c>
      <c r="I159" s="3">
        <v>1</v>
      </c>
      <c r="J159" s="13">
        <v>1</v>
      </c>
      <c r="K159" s="3">
        <v>1</v>
      </c>
      <c r="L159" s="3">
        <v>1</v>
      </c>
      <c r="M159" s="3">
        <v>1</v>
      </c>
      <c r="N159" s="3">
        <v>0</v>
      </c>
      <c r="O159" s="3">
        <v>1</v>
      </c>
      <c r="P159" s="9" t="str">
        <f>BIN2HEX(""&amp;H159&amp;I159&amp;J159&amp;K159&amp;L159&amp;M159&amp;N159&amp;O159,2)</f>
        <v>FD</v>
      </c>
      <c r="Q159" s="2">
        <v>6</v>
      </c>
      <c r="R159" s="2" t="s">
        <v>252</v>
      </c>
      <c r="T159" s="2" t="s">
        <v>255</v>
      </c>
    </row>
    <row r="160" spans="1:41">
      <c r="H160" s="3">
        <v>1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1</v>
      </c>
      <c r="O160" s="3">
        <v>1</v>
      </c>
      <c r="P160" s="9" t="str">
        <f>BIN2HEX(""&amp;H160&amp;I160&amp;J160&amp;K160&amp;L160&amp;M160&amp;N160&amp;O160,2)</f>
        <v>E3</v>
      </c>
    </row>
    <row r="161" spans="1:20">
      <c r="P161" s="9"/>
    </row>
    <row r="162" spans="1:20">
      <c r="A162" s="2" t="s">
        <v>256</v>
      </c>
      <c r="B162" s="2" t="s">
        <v>256</v>
      </c>
      <c r="G162" s="2">
        <v>0</v>
      </c>
      <c r="H162" s="3">
        <v>1</v>
      </c>
      <c r="I162" s="3">
        <v>1</v>
      </c>
      <c r="J162" s="3">
        <v>1</v>
      </c>
      <c r="K162" s="3">
        <v>0</v>
      </c>
      <c r="L162" s="3">
        <v>1</v>
      </c>
      <c r="M162" s="3">
        <v>1</v>
      </c>
      <c r="N162" s="3">
        <v>0</v>
      </c>
      <c r="O162" s="3">
        <v>1</v>
      </c>
      <c r="P162" s="9" t="str">
        <f>BIN2HEX(""&amp;H162&amp;I162&amp;J162&amp;K162&amp;L162&amp;M162&amp;N162&amp;O162,2)</f>
        <v>ED</v>
      </c>
      <c r="Q162" s="2">
        <v>4</v>
      </c>
      <c r="R162" s="2" t="s">
        <v>257</v>
      </c>
      <c r="S162" s="2" t="s">
        <v>258</v>
      </c>
      <c r="T162" s="2" t="s">
        <v>259</v>
      </c>
    </row>
    <row r="163" spans="1:20">
      <c r="G163" s="2">
        <v>1</v>
      </c>
      <c r="H163" s="3">
        <v>1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9" t="str">
        <f>BIN2HEX(""&amp;H163&amp;I163&amp;J163&amp;K163&amp;L163&amp;M163&amp;N163&amp;O163,2)</f>
        <v>A0</v>
      </c>
    </row>
    <row r="164" spans="1:20">
      <c r="P164" s="9"/>
    </row>
    <row r="165" spans="1:20">
      <c r="A165" s="2" t="s">
        <v>260</v>
      </c>
      <c r="B165" s="2" t="s">
        <v>260</v>
      </c>
      <c r="G165" s="2">
        <v>0</v>
      </c>
      <c r="H165" s="3">
        <v>1</v>
      </c>
      <c r="I165" s="3">
        <v>1</v>
      </c>
      <c r="J165" s="3">
        <v>1</v>
      </c>
      <c r="K165" s="3">
        <v>0</v>
      </c>
      <c r="L165" s="3">
        <v>1</v>
      </c>
      <c r="M165" s="3">
        <v>1</v>
      </c>
      <c r="N165" s="3">
        <v>0</v>
      </c>
      <c r="O165" s="3">
        <v>1</v>
      </c>
      <c r="P165" s="9" t="str">
        <f>BIN2HEX(""&amp;H165&amp;I165&amp;J165&amp;K165&amp;L165&amp;M165&amp;N165&amp;O165,2)</f>
        <v>ED</v>
      </c>
      <c r="Q165" s="2">
        <v>5</v>
      </c>
      <c r="R165" s="2" t="s">
        <v>261</v>
      </c>
      <c r="S165" s="2" t="s">
        <v>258</v>
      </c>
      <c r="T165" s="2" t="s">
        <v>262</v>
      </c>
    </row>
    <row r="166" spans="1:20">
      <c r="G166" s="2">
        <v>1</v>
      </c>
      <c r="H166" s="3">
        <v>1</v>
      </c>
      <c r="I166" s="3">
        <v>0</v>
      </c>
      <c r="J166" s="3">
        <v>1</v>
      </c>
      <c r="K166" s="3">
        <v>1</v>
      </c>
      <c r="L166" s="3">
        <v>0</v>
      </c>
      <c r="M166" s="3">
        <v>0</v>
      </c>
      <c r="N166" s="3">
        <v>0</v>
      </c>
      <c r="O166" s="3">
        <v>0</v>
      </c>
      <c r="P166" s="9" t="str">
        <f>BIN2HEX(""&amp;H166&amp;I166&amp;J166&amp;K166&amp;L166&amp;M166&amp;N166&amp;O166,2)</f>
        <v>B0</v>
      </c>
    </row>
    <row r="167" spans="1:20">
      <c r="P167" s="9"/>
    </row>
    <row r="168" spans="1:20">
      <c r="A168" s="2" t="s">
        <v>263</v>
      </c>
      <c r="B168" s="2" t="s">
        <v>263</v>
      </c>
      <c r="G168" s="2">
        <v>0</v>
      </c>
      <c r="H168" s="3">
        <v>1</v>
      </c>
      <c r="I168" s="3">
        <v>1</v>
      </c>
      <c r="J168" s="3">
        <v>1</v>
      </c>
      <c r="K168" s="3">
        <v>0</v>
      </c>
      <c r="L168" s="3">
        <v>1</v>
      </c>
      <c r="M168" s="3">
        <v>1</v>
      </c>
      <c r="N168" s="3">
        <v>0</v>
      </c>
      <c r="O168" s="3">
        <v>1</v>
      </c>
      <c r="P168" s="9" t="str">
        <f>BIN2HEX(""&amp;H168&amp;I168&amp;J168&amp;K168&amp;L168&amp;M168&amp;N168&amp;O168,2)</f>
        <v>ED</v>
      </c>
      <c r="Q168" s="2">
        <v>4</v>
      </c>
      <c r="R168" s="2" t="s">
        <v>257</v>
      </c>
      <c r="S168" s="2" t="s">
        <v>258</v>
      </c>
      <c r="T168" s="2" t="s">
        <v>264</v>
      </c>
    </row>
    <row r="169" spans="1:20">
      <c r="G169" s="2">
        <v>1</v>
      </c>
      <c r="H169" s="3">
        <v>1</v>
      </c>
      <c r="I169" s="3">
        <v>0</v>
      </c>
      <c r="J169" s="3">
        <v>1</v>
      </c>
      <c r="K169" s="3">
        <v>0</v>
      </c>
      <c r="L169" s="3">
        <v>1</v>
      </c>
      <c r="M169" s="3">
        <v>0</v>
      </c>
      <c r="N169" s="3">
        <v>0</v>
      </c>
      <c r="O169" s="3">
        <v>0</v>
      </c>
      <c r="P169" s="9" t="str">
        <f>BIN2HEX(""&amp;H169&amp;I169&amp;J169&amp;K169&amp;L169&amp;M169&amp;N169&amp;O169,2)</f>
        <v>A8</v>
      </c>
      <c r="Q169"/>
      <c r="R169"/>
      <c r="S169"/>
      <c r="T169"/>
    </row>
    <row r="170" spans="1:20">
      <c r="P170" s="9"/>
    </row>
    <row r="171" spans="1:20">
      <c r="A171" s="2" t="s">
        <v>265</v>
      </c>
      <c r="B171" s="2" t="s">
        <v>265</v>
      </c>
      <c r="G171" s="2">
        <v>0</v>
      </c>
      <c r="H171" s="3">
        <v>1</v>
      </c>
      <c r="I171" s="3">
        <v>1</v>
      </c>
      <c r="J171" s="3">
        <v>1</v>
      </c>
      <c r="K171" s="3">
        <v>0</v>
      </c>
      <c r="L171" s="3">
        <v>1</v>
      </c>
      <c r="M171" s="3">
        <v>1</v>
      </c>
      <c r="N171" s="3">
        <v>0</v>
      </c>
      <c r="O171" s="3">
        <v>1</v>
      </c>
      <c r="P171" s="9" t="str">
        <f>BIN2HEX(""&amp;H171&amp;I171&amp;J171&amp;K171&amp;L171&amp;M171&amp;N171&amp;O171,2)</f>
        <v>ED</v>
      </c>
      <c r="Q171" s="2">
        <v>5</v>
      </c>
      <c r="R171" s="2" t="s">
        <v>261</v>
      </c>
      <c r="S171" s="2" t="s">
        <v>258</v>
      </c>
      <c r="T171" s="2" t="s">
        <v>266</v>
      </c>
    </row>
    <row r="172" spans="1:20">
      <c r="G172" s="2">
        <v>1</v>
      </c>
      <c r="H172" s="3">
        <v>1</v>
      </c>
      <c r="I172" s="3">
        <v>0</v>
      </c>
      <c r="J172" s="3">
        <v>1</v>
      </c>
      <c r="K172" s="3">
        <v>1</v>
      </c>
      <c r="L172" s="3">
        <v>1</v>
      </c>
      <c r="M172" s="3">
        <v>0</v>
      </c>
      <c r="N172" s="3">
        <v>0</v>
      </c>
      <c r="O172" s="3">
        <v>0</v>
      </c>
      <c r="P172" s="9" t="str">
        <f>BIN2HEX(""&amp;H172&amp;I172&amp;J172&amp;K172&amp;L172&amp;M172&amp;N172&amp;O172,2)</f>
        <v>B8</v>
      </c>
    </row>
    <row r="173" spans="1:20">
      <c r="P173" s="9"/>
    </row>
    <row r="174" spans="1:20">
      <c r="A174" s="2" t="s">
        <v>267</v>
      </c>
      <c r="B174" s="2" t="s">
        <v>267</v>
      </c>
      <c r="G174" s="2">
        <v>0</v>
      </c>
      <c r="H174" s="3">
        <v>1</v>
      </c>
      <c r="I174" s="3">
        <v>1</v>
      </c>
      <c r="J174" s="3">
        <v>1</v>
      </c>
      <c r="K174" s="3">
        <v>0</v>
      </c>
      <c r="L174" s="3">
        <v>1</v>
      </c>
      <c r="M174" s="3">
        <v>1</v>
      </c>
      <c r="N174" s="3">
        <v>0</v>
      </c>
      <c r="O174" s="3">
        <v>1</v>
      </c>
      <c r="P174" s="9" t="str">
        <f>BIN2HEX(""&amp;H174&amp;I174&amp;J174&amp;K174&amp;L174&amp;M174&amp;N174&amp;O174,2)</f>
        <v>ED</v>
      </c>
      <c r="Q174" s="2">
        <v>4</v>
      </c>
      <c r="R174" s="2" t="s">
        <v>257</v>
      </c>
      <c r="S174" s="2" t="s">
        <v>123</v>
      </c>
      <c r="T174" s="2" t="s">
        <v>268</v>
      </c>
    </row>
    <row r="175" spans="1:20">
      <c r="G175" s="2">
        <v>1</v>
      </c>
      <c r="H175" s="3">
        <v>1</v>
      </c>
      <c r="I175" s="3">
        <v>0</v>
      </c>
      <c r="J175" s="3">
        <v>1</v>
      </c>
      <c r="K175" s="3">
        <v>0</v>
      </c>
      <c r="L175" s="3">
        <v>0</v>
      </c>
      <c r="M175" s="3">
        <v>0</v>
      </c>
      <c r="N175" s="3">
        <v>0</v>
      </c>
      <c r="O175" s="3">
        <v>1</v>
      </c>
      <c r="P175" s="9" t="str">
        <f>BIN2HEX(""&amp;H175&amp;I175&amp;J175&amp;K175&amp;L175&amp;M175&amp;N175&amp;O175,2)</f>
        <v>A1</v>
      </c>
    </row>
    <row r="176" spans="1:20">
      <c r="P176" s="9"/>
    </row>
    <row r="177" spans="1:30">
      <c r="A177" s="2" t="s">
        <v>269</v>
      </c>
      <c r="B177" s="2" t="s">
        <v>269</v>
      </c>
      <c r="G177" s="2">
        <v>0</v>
      </c>
      <c r="H177" s="3">
        <v>1</v>
      </c>
      <c r="I177" s="3">
        <v>1</v>
      </c>
      <c r="J177" s="3">
        <v>1</v>
      </c>
      <c r="K177" s="3">
        <v>0</v>
      </c>
      <c r="L177" s="3">
        <v>1</v>
      </c>
      <c r="M177" s="3">
        <v>1</v>
      </c>
      <c r="N177" s="3">
        <v>0</v>
      </c>
      <c r="O177" s="3">
        <v>1</v>
      </c>
      <c r="P177" s="9" t="str">
        <f>BIN2HEX(""&amp;H177&amp;I177&amp;J177&amp;K177&amp;L177&amp;M177&amp;N177&amp;O177,2)</f>
        <v>ED</v>
      </c>
      <c r="Q177" s="2">
        <v>5</v>
      </c>
      <c r="R177" s="2" t="s">
        <v>261</v>
      </c>
      <c r="S177" s="2" t="s">
        <v>123</v>
      </c>
      <c r="T177" s="2" t="s">
        <v>270</v>
      </c>
    </row>
    <row r="178" spans="1:30">
      <c r="G178" s="2">
        <v>1</v>
      </c>
      <c r="H178" s="3">
        <v>1</v>
      </c>
      <c r="I178" s="3">
        <v>0</v>
      </c>
      <c r="J178" s="3">
        <v>1</v>
      </c>
      <c r="K178" s="3">
        <v>1</v>
      </c>
      <c r="L178" s="3">
        <v>0</v>
      </c>
      <c r="M178" s="3">
        <v>0</v>
      </c>
      <c r="N178" s="3">
        <v>0</v>
      </c>
      <c r="O178" s="3">
        <v>1</v>
      </c>
      <c r="P178" s="9" t="str">
        <f>BIN2HEX(""&amp;H178&amp;I178&amp;J178&amp;K178&amp;L178&amp;M178&amp;N178&amp;O178,2)</f>
        <v>B1</v>
      </c>
    </row>
    <row r="179" spans="1:30">
      <c r="P179" s="9"/>
    </row>
    <row r="180" spans="1:30">
      <c r="A180" s="2" t="s">
        <v>271</v>
      </c>
      <c r="B180" s="2" t="s">
        <v>271</v>
      </c>
      <c r="G180" s="2">
        <v>0</v>
      </c>
      <c r="H180" s="3">
        <v>1</v>
      </c>
      <c r="I180" s="3">
        <v>1</v>
      </c>
      <c r="J180" s="3">
        <v>1</v>
      </c>
      <c r="K180" s="3">
        <v>0</v>
      </c>
      <c r="L180" s="3">
        <v>1</v>
      </c>
      <c r="M180" s="3">
        <v>1</v>
      </c>
      <c r="N180" s="3">
        <v>0</v>
      </c>
      <c r="O180" s="3">
        <v>1</v>
      </c>
      <c r="P180" s="9" t="str">
        <f>BIN2HEX(""&amp;H180&amp;I180&amp;J180&amp;K180&amp;L180&amp;M180&amp;N180&amp;O180,2)</f>
        <v>ED</v>
      </c>
      <c r="Q180" s="2">
        <v>4</v>
      </c>
      <c r="R180" s="2" t="s">
        <v>257</v>
      </c>
      <c r="S180" s="2" t="s">
        <v>123</v>
      </c>
      <c r="T180" s="2" t="s">
        <v>272</v>
      </c>
    </row>
    <row r="181" spans="1:30">
      <c r="G181" s="2">
        <v>1</v>
      </c>
      <c r="H181" s="3">
        <v>1</v>
      </c>
      <c r="I181" s="3">
        <v>0</v>
      </c>
      <c r="J181" s="3">
        <v>1</v>
      </c>
      <c r="K181" s="3">
        <v>0</v>
      </c>
      <c r="L181" s="3">
        <v>1</v>
      </c>
      <c r="M181" s="3">
        <v>0</v>
      </c>
      <c r="N181" s="3">
        <v>0</v>
      </c>
      <c r="O181" s="3">
        <v>1</v>
      </c>
      <c r="P181" s="9" t="str">
        <f>BIN2HEX(""&amp;H181&amp;I181&amp;J181&amp;K181&amp;L181&amp;M181&amp;N181&amp;O181,2)</f>
        <v>A9</v>
      </c>
    </row>
    <row r="182" spans="1:30">
      <c r="P182" s="9"/>
    </row>
    <row r="183" spans="1:30">
      <c r="A183" s="2" t="s">
        <v>273</v>
      </c>
      <c r="B183" s="2" t="s">
        <v>273</v>
      </c>
      <c r="G183" s="2">
        <v>0</v>
      </c>
      <c r="H183" s="3">
        <v>1</v>
      </c>
      <c r="I183" s="3">
        <v>1</v>
      </c>
      <c r="J183" s="3">
        <v>1</v>
      </c>
      <c r="K183" s="3">
        <v>0</v>
      </c>
      <c r="L183" s="3">
        <v>1</v>
      </c>
      <c r="M183" s="3">
        <v>1</v>
      </c>
      <c r="N183" s="3">
        <v>0</v>
      </c>
      <c r="O183" s="3">
        <v>1</v>
      </c>
      <c r="P183" s="9" t="str">
        <f>BIN2HEX(""&amp;H183&amp;I183&amp;J183&amp;K183&amp;L183&amp;M183&amp;N183&amp;O183,2)</f>
        <v>ED</v>
      </c>
      <c r="Q183" s="2">
        <v>5</v>
      </c>
      <c r="R183" s="2" t="s">
        <v>261</v>
      </c>
      <c r="S183" s="2" t="s">
        <v>123</v>
      </c>
      <c r="T183" s="2" t="s">
        <v>274</v>
      </c>
    </row>
    <row r="184" spans="1:30">
      <c r="G184" s="2">
        <v>1</v>
      </c>
      <c r="H184" s="3">
        <v>1</v>
      </c>
      <c r="I184" s="3">
        <v>0</v>
      </c>
      <c r="J184" s="3">
        <v>1</v>
      </c>
      <c r="K184" s="3">
        <v>1</v>
      </c>
      <c r="L184" s="3">
        <v>1</v>
      </c>
      <c r="M184" s="3">
        <v>0</v>
      </c>
      <c r="N184" s="3">
        <v>0</v>
      </c>
      <c r="O184" s="3">
        <v>1</v>
      </c>
      <c r="P184" s="9" t="str">
        <f>BIN2HEX(""&amp;H184&amp;I184&amp;J184&amp;K184&amp;L184&amp;M184&amp;N184&amp;O184,2)</f>
        <v>B9</v>
      </c>
    </row>
    <row r="185" spans="1:30">
      <c r="P185" s="9"/>
    </row>
    <row r="186" spans="1:30" ht="71.25">
      <c r="A186" s="2" t="s">
        <v>275</v>
      </c>
      <c r="B186" s="2" t="s">
        <v>276</v>
      </c>
      <c r="C186" s="2" t="s">
        <v>94</v>
      </c>
      <c r="D186" s="2" t="s">
        <v>29</v>
      </c>
      <c r="E186" s="2" t="s">
        <v>31</v>
      </c>
      <c r="F186" s="2" t="s">
        <v>31</v>
      </c>
      <c r="G186" s="2">
        <v>0</v>
      </c>
      <c r="H186" s="3">
        <v>1</v>
      </c>
      <c r="I186" s="3">
        <v>0</v>
      </c>
      <c r="J186" s="3">
        <v>0</v>
      </c>
      <c r="K186" s="3">
        <v>0</v>
      </c>
      <c r="L186" s="3">
        <v>0</v>
      </c>
      <c r="M186" s="3" t="s">
        <v>32</v>
      </c>
      <c r="N186" s="3" t="s">
        <v>32</v>
      </c>
      <c r="O186" s="3" t="s">
        <v>32</v>
      </c>
      <c r="P186" s="9"/>
      <c r="Q186" s="2">
        <v>1</v>
      </c>
      <c r="R186" s="2">
        <v>4</v>
      </c>
      <c r="S186" s="2" t="s">
        <v>277</v>
      </c>
      <c r="T186" s="2" t="s">
        <v>278</v>
      </c>
      <c r="V186" s="4" t="s">
        <v>35</v>
      </c>
      <c r="W186" s="4" t="s">
        <v>36</v>
      </c>
      <c r="X186" s="4" t="s">
        <v>37</v>
      </c>
      <c r="Y186" s="4" t="s">
        <v>279</v>
      </c>
      <c r="Z186" s="10" t="s">
        <v>280</v>
      </c>
    </row>
    <row r="187" spans="1:30">
      <c r="P187" s="9"/>
    </row>
    <row r="188" spans="1:30" ht="71.25">
      <c r="A188" s="2" t="s">
        <v>275</v>
      </c>
      <c r="B188" s="2" t="s">
        <v>281</v>
      </c>
      <c r="C188" s="2" t="s">
        <v>94</v>
      </c>
      <c r="D188" s="2" t="s">
        <v>41</v>
      </c>
      <c r="E188" s="2" t="s">
        <v>31</v>
      </c>
      <c r="F188" s="2" t="s">
        <v>42</v>
      </c>
      <c r="G188" s="2">
        <v>0</v>
      </c>
      <c r="H188" s="3">
        <v>1</v>
      </c>
      <c r="I188" s="26">
        <v>1</v>
      </c>
      <c r="J188" s="3">
        <v>0</v>
      </c>
      <c r="K188" s="3">
        <v>0</v>
      </c>
      <c r="L188" s="3">
        <v>0</v>
      </c>
      <c r="M188" s="3">
        <v>1</v>
      </c>
      <c r="N188" s="3">
        <v>1</v>
      </c>
      <c r="O188" s="3">
        <v>0</v>
      </c>
      <c r="P188" s="9" t="str">
        <f>BIN2HEX(""&amp;H188&amp;I188&amp;J188&amp;K188&amp;L188&amp;M188&amp;N188&amp;O188,2)</f>
        <v>C6</v>
      </c>
      <c r="Q188" s="2">
        <v>2</v>
      </c>
      <c r="R188" s="2" t="s">
        <v>43</v>
      </c>
      <c r="S188" s="2" t="s">
        <v>277</v>
      </c>
      <c r="T188" s="2" t="s">
        <v>282</v>
      </c>
      <c r="U188" s="27" t="s">
        <v>283</v>
      </c>
      <c r="V188" s="4" t="str">
        <f>$V$6</f>
        <v>PC.OE, ABUF.L, INC2.P, INC2.L</v>
      </c>
      <c r="W188" s="4" t="str">
        <f>$W$6</f>
        <v>INC2.P, INC2.OE, PC.L.INC2, DBUF.L.IN</v>
      </c>
      <c r="X188" s="4" t="str">
        <f>$X$6</f>
        <v>DBUF.L.IN, INSTR.L</v>
      </c>
      <c r="Y188" s="4" t="s">
        <v>45</v>
      </c>
      <c r="Z188" s="4" t="s">
        <v>46</v>
      </c>
      <c r="AA188" s="4" t="s">
        <v>35</v>
      </c>
      <c r="AB188" s="4" t="s">
        <v>36</v>
      </c>
      <c r="AC188" s="4" t="s">
        <v>284</v>
      </c>
      <c r="AD188" s="10" t="s">
        <v>280</v>
      </c>
    </row>
    <row r="189" spans="1:30">
      <c r="G189" s="2">
        <v>1</v>
      </c>
      <c r="H189" s="3" t="s">
        <v>48</v>
      </c>
      <c r="I189" s="3" t="s">
        <v>48</v>
      </c>
      <c r="J189" s="3" t="s">
        <v>48</v>
      </c>
      <c r="K189" s="3" t="s">
        <v>48</v>
      </c>
      <c r="L189" s="3" t="s">
        <v>48</v>
      </c>
      <c r="M189" s="3" t="s">
        <v>48</v>
      </c>
      <c r="N189" s="3" t="s">
        <v>48</v>
      </c>
      <c r="O189" s="3" t="s">
        <v>48</v>
      </c>
      <c r="P189" s="9"/>
      <c r="U189" s="27" t="s">
        <v>285</v>
      </c>
    </row>
    <row r="190" spans="1:30">
      <c r="P190" s="9"/>
    </row>
    <row r="191" spans="1:30" ht="71.25">
      <c r="A191" s="2" t="s">
        <v>275</v>
      </c>
      <c r="B191" s="2" t="s">
        <v>286</v>
      </c>
      <c r="C191" s="2" t="s">
        <v>94</v>
      </c>
      <c r="D191" s="2" t="s">
        <v>50</v>
      </c>
      <c r="E191" s="2" t="s">
        <v>31</v>
      </c>
      <c r="F191" s="2" t="s">
        <v>51</v>
      </c>
      <c r="G191" s="2">
        <v>0</v>
      </c>
      <c r="H191" s="3">
        <v>1</v>
      </c>
      <c r="I191" s="3">
        <v>0</v>
      </c>
      <c r="J191" s="3">
        <v>0</v>
      </c>
      <c r="K191" s="3">
        <v>0</v>
      </c>
      <c r="L191" s="3">
        <v>0</v>
      </c>
      <c r="M191" s="11">
        <v>1</v>
      </c>
      <c r="N191" s="11">
        <v>1</v>
      </c>
      <c r="O191" s="11">
        <v>0</v>
      </c>
      <c r="P191" s="9" t="str">
        <f>BIN2HEX(""&amp;H191&amp;I191&amp;J191&amp;K191&amp;L191&amp;M191&amp;N191&amp;O191,2)</f>
        <v>86</v>
      </c>
      <c r="Q191" s="2">
        <v>2</v>
      </c>
      <c r="R191" s="2" t="s">
        <v>43</v>
      </c>
      <c r="S191" s="2" t="s">
        <v>277</v>
      </c>
      <c r="T191" s="2" t="s">
        <v>287</v>
      </c>
      <c r="U191" s="12" t="s">
        <v>53</v>
      </c>
      <c r="V191" s="4" t="str">
        <f>$V$6</f>
        <v>PC.OE, ABUF.L, INC2.P, INC2.L</v>
      </c>
      <c r="W191" s="4" t="str">
        <f>$W$6</f>
        <v>INC2.P, INC2.OE, PC.L.INC2, DBUF.L.IN</v>
      </c>
      <c r="X191" s="4" t="str">
        <f>$X$6</f>
        <v>DBUF.L.IN, INSTR.L</v>
      </c>
      <c r="Y191" s="4" t="s">
        <v>45</v>
      </c>
      <c r="Z191" s="4" t="s">
        <v>46</v>
      </c>
      <c r="AA191" s="4" t="s">
        <v>54</v>
      </c>
      <c r="AB191" s="4" t="s">
        <v>55</v>
      </c>
      <c r="AC191" s="4" t="s">
        <v>284</v>
      </c>
      <c r="AD191" s="10" t="s">
        <v>280</v>
      </c>
    </row>
    <row r="192" spans="1:30">
      <c r="P192" s="9"/>
    </row>
    <row r="193" spans="1:41" ht="99.75">
      <c r="A193" s="2" t="s">
        <v>275</v>
      </c>
      <c r="B193" s="2" t="s">
        <v>288</v>
      </c>
      <c r="C193" s="2" t="s">
        <v>94</v>
      </c>
      <c r="D193" s="2" t="s">
        <v>57</v>
      </c>
      <c r="E193" s="2" t="s">
        <v>31</v>
      </c>
      <c r="F193" s="2" t="s">
        <v>45</v>
      </c>
      <c r="G193" s="2">
        <v>0</v>
      </c>
      <c r="H193" s="3">
        <v>1</v>
      </c>
      <c r="I193" s="3">
        <v>1</v>
      </c>
      <c r="J193" s="13">
        <v>0</v>
      </c>
      <c r="K193" s="3">
        <v>1</v>
      </c>
      <c r="L193" s="3">
        <v>1</v>
      </c>
      <c r="M193" s="3">
        <v>1</v>
      </c>
      <c r="N193" s="3">
        <v>0</v>
      </c>
      <c r="O193" s="3">
        <v>1</v>
      </c>
      <c r="P193" s="9" t="str">
        <f>BIN2HEX(""&amp;H193&amp;I193&amp;J193&amp;K193&amp;L193&amp;M193&amp;N193&amp;O193,2)</f>
        <v>DD</v>
      </c>
      <c r="Q193" s="2">
        <v>5</v>
      </c>
      <c r="R193" s="2" t="s">
        <v>58</v>
      </c>
      <c r="S193" s="2" t="s">
        <v>277</v>
      </c>
      <c r="T193" s="2" t="s">
        <v>289</v>
      </c>
      <c r="U193" s="14" t="s">
        <v>60</v>
      </c>
      <c r="V193" s="4" t="str">
        <f>$V$6</f>
        <v>PC.OE, ABUF.L, INC2.P, INC2.L</v>
      </c>
      <c r="W193" s="4" t="str">
        <f>$W$6</f>
        <v>INC2.P, INC2.OE, PC.L.INC2, DBUF.L.IN</v>
      </c>
      <c r="X193" s="4" t="str">
        <f>$X$6</f>
        <v>DBUF.L.IN, INSTR.L</v>
      </c>
      <c r="Y193" s="4" t="s">
        <v>45</v>
      </c>
      <c r="Z193" s="4" t="s">
        <v>46</v>
      </c>
      <c r="AA193" s="4" t="s">
        <v>35</v>
      </c>
      <c r="AB193" s="4" t="s">
        <v>36</v>
      </c>
      <c r="AC193" s="4" t="s">
        <v>37</v>
      </c>
      <c r="AD193" s="4" t="s">
        <v>45</v>
      </c>
      <c r="AE193" s="4" t="s">
        <v>46</v>
      </c>
      <c r="AF193" s="4" t="s">
        <v>35</v>
      </c>
      <c r="AG193" s="4" t="s">
        <v>36</v>
      </c>
      <c r="AH193" s="4" t="s">
        <v>61</v>
      </c>
      <c r="AI193" s="4" t="s">
        <v>46</v>
      </c>
      <c r="AJ193" s="4" t="s">
        <v>46</v>
      </c>
      <c r="AK193" s="4" t="s">
        <v>62</v>
      </c>
      <c r="AL193" s="4" t="s">
        <v>63</v>
      </c>
      <c r="AM193" s="4" t="s">
        <v>55</v>
      </c>
      <c r="AN193" s="4" t="s">
        <v>284</v>
      </c>
      <c r="AO193" s="10" t="s">
        <v>280</v>
      </c>
    </row>
    <row r="194" spans="1:41">
      <c r="G194" s="2">
        <v>1</v>
      </c>
      <c r="H194" s="3">
        <v>1</v>
      </c>
      <c r="I194" s="3">
        <v>0</v>
      </c>
      <c r="J194" s="3">
        <v>0</v>
      </c>
      <c r="K194" s="3">
        <v>0</v>
      </c>
      <c r="L194" s="3">
        <v>0</v>
      </c>
      <c r="M194" s="3">
        <v>1</v>
      </c>
      <c r="N194" s="3">
        <v>1</v>
      </c>
      <c r="O194" s="3">
        <v>0</v>
      </c>
      <c r="P194" s="9" t="str">
        <f>BIN2HEX(""&amp;H194&amp;I194&amp;J194&amp;K194&amp;L194&amp;M194&amp;N194&amp;O194,2)</f>
        <v>86</v>
      </c>
    </row>
    <row r="195" spans="1:41">
      <c r="G195" s="2">
        <v>2</v>
      </c>
      <c r="H195" s="3" t="s">
        <v>64</v>
      </c>
      <c r="I195" s="3" t="s">
        <v>64</v>
      </c>
      <c r="J195" s="3" t="s">
        <v>64</v>
      </c>
      <c r="K195" s="3" t="s">
        <v>64</v>
      </c>
      <c r="L195" s="3" t="s">
        <v>64</v>
      </c>
      <c r="M195" s="3" t="s">
        <v>64</v>
      </c>
      <c r="N195" s="3" t="s">
        <v>64</v>
      </c>
      <c r="O195" s="3" t="s">
        <v>64</v>
      </c>
      <c r="P195" s="9"/>
    </row>
    <row r="196" spans="1:41">
      <c r="P196" s="9"/>
    </row>
    <row r="197" spans="1:41" ht="99.75">
      <c r="A197" s="2" t="s">
        <v>275</v>
      </c>
      <c r="B197" s="2" t="s">
        <v>290</v>
      </c>
      <c r="C197" s="2" t="s">
        <v>94</v>
      </c>
      <c r="D197" s="2" t="s">
        <v>66</v>
      </c>
      <c r="E197" s="2" t="s">
        <v>31</v>
      </c>
      <c r="F197" s="2" t="s">
        <v>45</v>
      </c>
      <c r="G197" s="2">
        <v>0</v>
      </c>
      <c r="H197" s="3">
        <v>1</v>
      </c>
      <c r="I197" s="3">
        <v>1</v>
      </c>
      <c r="J197" s="13">
        <v>1</v>
      </c>
      <c r="K197" s="3">
        <v>1</v>
      </c>
      <c r="L197" s="3">
        <v>1</v>
      </c>
      <c r="M197" s="3">
        <v>1</v>
      </c>
      <c r="N197" s="3">
        <v>0</v>
      </c>
      <c r="O197" s="3">
        <v>1</v>
      </c>
      <c r="P197" s="9" t="str">
        <f>BIN2HEX(""&amp;H197&amp;I197&amp;J197&amp;K197&amp;L197&amp;M197&amp;N197&amp;O197,2)</f>
        <v>FD</v>
      </c>
      <c r="Q197" s="2">
        <v>5</v>
      </c>
      <c r="R197" s="2" t="s">
        <v>58</v>
      </c>
      <c r="S197" s="2" t="s">
        <v>277</v>
      </c>
      <c r="T197" s="2" t="s">
        <v>291</v>
      </c>
      <c r="V197" s="4" t="str">
        <f>$V$6</f>
        <v>PC.OE, ABUF.L, INC2.P, INC2.L</v>
      </c>
      <c r="W197" s="4" t="str">
        <f>$W$6</f>
        <v>INC2.P, INC2.OE, PC.L.INC2, DBUF.L.IN</v>
      </c>
      <c r="X197" s="4" t="str">
        <f>$X$6</f>
        <v>DBUF.L.IN, INSTR.L</v>
      </c>
      <c r="Y197" s="4" t="s">
        <v>45</v>
      </c>
      <c r="Z197" s="4" t="s">
        <v>46</v>
      </c>
      <c r="AA197" s="4" t="s">
        <v>35</v>
      </c>
      <c r="AB197" s="4" t="s">
        <v>36</v>
      </c>
      <c r="AC197" s="4" t="s">
        <v>37</v>
      </c>
      <c r="AD197" s="4" t="s">
        <v>45</v>
      </c>
      <c r="AE197" s="4" t="s">
        <v>46</v>
      </c>
      <c r="AF197" s="4" t="s">
        <v>35</v>
      </c>
      <c r="AG197" s="4" t="s">
        <v>36</v>
      </c>
      <c r="AH197" s="4" t="s">
        <v>61</v>
      </c>
      <c r="AI197" s="4" t="s">
        <v>46</v>
      </c>
      <c r="AJ197" s="4" t="s">
        <v>46</v>
      </c>
      <c r="AK197" s="4" t="s">
        <v>79</v>
      </c>
      <c r="AL197" s="4" t="s">
        <v>63</v>
      </c>
      <c r="AM197" s="4" t="s">
        <v>55</v>
      </c>
      <c r="AN197" s="4" t="s">
        <v>284</v>
      </c>
      <c r="AO197" s="10" t="s">
        <v>280</v>
      </c>
    </row>
    <row r="198" spans="1:41">
      <c r="G198" s="2">
        <v>1</v>
      </c>
      <c r="H198" s="3">
        <v>1</v>
      </c>
      <c r="I198" s="3">
        <v>0</v>
      </c>
      <c r="J198" s="3">
        <v>0</v>
      </c>
      <c r="K198" s="3">
        <v>0</v>
      </c>
      <c r="L198" s="3">
        <v>0</v>
      </c>
      <c r="M198" s="3">
        <v>1</v>
      </c>
      <c r="N198" s="3">
        <v>1</v>
      </c>
      <c r="O198" s="3">
        <v>0</v>
      </c>
      <c r="P198" s="9" t="str">
        <f>BIN2HEX(""&amp;H198&amp;I198&amp;J198&amp;K198&amp;L198&amp;M198&amp;N198&amp;O198,2)</f>
        <v>86</v>
      </c>
    </row>
    <row r="199" spans="1:41">
      <c r="G199" s="2">
        <v>2</v>
      </c>
      <c r="H199" s="3" t="s">
        <v>64</v>
      </c>
      <c r="I199" s="3" t="s">
        <v>64</v>
      </c>
      <c r="J199" s="3" t="s">
        <v>64</v>
      </c>
      <c r="K199" s="3" t="s">
        <v>64</v>
      </c>
      <c r="L199" s="3" t="s">
        <v>64</v>
      </c>
      <c r="M199" s="3" t="s">
        <v>64</v>
      </c>
      <c r="N199" s="3" t="s">
        <v>64</v>
      </c>
      <c r="O199" s="3" t="s">
        <v>64</v>
      </c>
      <c r="P199" s="9"/>
    </row>
    <row r="200" spans="1:41">
      <c r="P200" s="9"/>
    </row>
    <row r="201" spans="1:41" ht="71.25">
      <c r="A201" s="2" t="s">
        <v>292</v>
      </c>
      <c r="B201" s="2" t="s">
        <v>293</v>
      </c>
      <c r="C201" s="2" t="s">
        <v>94</v>
      </c>
      <c r="D201" s="2" t="s">
        <v>29</v>
      </c>
      <c r="E201" s="2" t="s">
        <v>31</v>
      </c>
      <c r="F201" s="2" t="s">
        <v>31</v>
      </c>
      <c r="G201" s="2">
        <v>0</v>
      </c>
      <c r="H201" s="3">
        <v>1</v>
      </c>
      <c r="I201" s="3">
        <v>0</v>
      </c>
      <c r="J201" s="3">
        <v>0</v>
      </c>
      <c r="K201" s="3">
        <v>0</v>
      </c>
      <c r="L201" s="28">
        <v>1</v>
      </c>
      <c r="M201" s="3" t="s">
        <v>32</v>
      </c>
      <c r="N201" s="3" t="s">
        <v>32</v>
      </c>
      <c r="O201" s="3" t="s">
        <v>32</v>
      </c>
      <c r="P201" s="9"/>
      <c r="Q201" s="2">
        <v>1</v>
      </c>
      <c r="R201" s="2">
        <v>4</v>
      </c>
      <c r="S201" s="2" t="s">
        <v>277</v>
      </c>
      <c r="T201" s="2" t="s">
        <v>294</v>
      </c>
      <c r="U201" s="29" t="s">
        <v>295</v>
      </c>
      <c r="V201" s="4" t="s">
        <v>35</v>
      </c>
      <c r="W201" s="4" t="s">
        <v>36</v>
      </c>
      <c r="X201" s="4" t="s">
        <v>37</v>
      </c>
      <c r="Y201" s="4" t="s">
        <v>279</v>
      </c>
      <c r="Z201" s="10" t="s">
        <v>296</v>
      </c>
    </row>
    <row r="202" spans="1:41">
      <c r="P202" s="9"/>
    </row>
    <row r="203" spans="1:41" ht="71.25">
      <c r="A203" s="2" t="s">
        <v>292</v>
      </c>
      <c r="B203" s="2" t="s">
        <v>297</v>
      </c>
      <c r="C203" s="2" t="s">
        <v>94</v>
      </c>
      <c r="D203" s="2" t="s">
        <v>41</v>
      </c>
      <c r="E203" s="2" t="s">
        <v>31</v>
      </c>
      <c r="F203" s="2" t="s">
        <v>42</v>
      </c>
      <c r="G203" s="2">
        <v>0</v>
      </c>
      <c r="H203" s="3">
        <v>1</v>
      </c>
      <c r="I203" s="26">
        <v>1</v>
      </c>
      <c r="J203" s="3">
        <v>0</v>
      </c>
      <c r="K203" s="3">
        <v>0</v>
      </c>
      <c r="L203" s="28">
        <v>1</v>
      </c>
      <c r="M203" s="3">
        <v>1</v>
      </c>
      <c r="N203" s="3">
        <v>1</v>
      </c>
      <c r="O203" s="3">
        <v>0</v>
      </c>
      <c r="P203" s="9" t="str">
        <f>BIN2HEX(""&amp;H203&amp;I203&amp;J203&amp;K203&amp;L203&amp;M203&amp;N203&amp;O203,2)</f>
        <v>CE</v>
      </c>
      <c r="Q203" s="2">
        <v>2</v>
      </c>
      <c r="R203" s="2" t="s">
        <v>43</v>
      </c>
      <c r="S203" s="2" t="s">
        <v>277</v>
      </c>
      <c r="T203" s="2" t="s">
        <v>298</v>
      </c>
      <c r="U203" s="27" t="s">
        <v>283</v>
      </c>
      <c r="V203" s="4" t="str">
        <f>$V$6</f>
        <v>PC.OE, ABUF.L, INC2.P, INC2.L</v>
      </c>
      <c r="W203" s="4" t="str">
        <f>$W$6</f>
        <v>INC2.P, INC2.OE, PC.L.INC2, DBUF.L.IN</v>
      </c>
      <c r="X203" s="4" t="str">
        <f>$X$6</f>
        <v>DBUF.L.IN, INSTR.L</v>
      </c>
      <c r="Y203" s="4" t="s">
        <v>45</v>
      </c>
      <c r="Z203" s="4" t="s">
        <v>46</v>
      </c>
      <c r="AA203" s="4" t="s">
        <v>35</v>
      </c>
      <c r="AB203" s="4" t="s">
        <v>36</v>
      </c>
      <c r="AC203" s="4" t="s">
        <v>284</v>
      </c>
      <c r="AD203" s="10" t="s">
        <v>296</v>
      </c>
    </row>
    <row r="204" spans="1:41">
      <c r="G204" s="2">
        <v>1</v>
      </c>
      <c r="H204" s="3" t="s">
        <v>48</v>
      </c>
      <c r="I204" s="3" t="s">
        <v>48</v>
      </c>
      <c r="J204" s="3" t="s">
        <v>48</v>
      </c>
      <c r="K204" s="3" t="s">
        <v>48</v>
      </c>
      <c r="L204" s="3" t="s">
        <v>48</v>
      </c>
      <c r="M204" s="3" t="s">
        <v>48</v>
      </c>
      <c r="N204" s="3" t="s">
        <v>48</v>
      </c>
      <c r="O204" s="3" t="s">
        <v>48</v>
      </c>
      <c r="P204" s="9"/>
    </row>
    <row r="205" spans="1:41">
      <c r="P205" s="9"/>
    </row>
    <row r="206" spans="1:41" ht="71.25">
      <c r="A206" s="2" t="s">
        <v>292</v>
      </c>
      <c r="B206" s="2" t="s">
        <v>299</v>
      </c>
      <c r="C206" s="2" t="s">
        <v>94</v>
      </c>
      <c r="D206" s="2" t="s">
        <v>50</v>
      </c>
      <c r="E206" s="2" t="s">
        <v>31</v>
      </c>
      <c r="F206" s="2" t="s">
        <v>51</v>
      </c>
      <c r="G206" s="2">
        <v>0</v>
      </c>
      <c r="H206" s="3">
        <v>1</v>
      </c>
      <c r="I206" s="3">
        <v>0</v>
      </c>
      <c r="J206" s="3">
        <v>0</v>
      </c>
      <c r="K206" s="3">
        <v>0</v>
      </c>
      <c r="L206" s="28">
        <v>1</v>
      </c>
      <c r="M206" s="11">
        <v>1</v>
      </c>
      <c r="N206" s="11">
        <v>1</v>
      </c>
      <c r="O206" s="11">
        <v>0</v>
      </c>
      <c r="P206" s="9" t="str">
        <f>BIN2HEX(""&amp;H206&amp;I206&amp;J206&amp;K206&amp;L206&amp;M206&amp;N206&amp;O206,2)</f>
        <v>8E</v>
      </c>
      <c r="Q206" s="2">
        <v>2</v>
      </c>
      <c r="R206" s="2" t="s">
        <v>43</v>
      </c>
      <c r="S206" s="2" t="s">
        <v>277</v>
      </c>
      <c r="T206" s="2" t="s">
        <v>300</v>
      </c>
      <c r="U206" s="12" t="s">
        <v>53</v>
      </c>
      <c r="V206" s="4" t="str">
        <f>$V$6</f>
        <v>PC.OE, ABUF.L, INC2.P, INC2.L</v>
      </c>
      <c r="W206" s="4" t="str">
        <f>$W$6</f>
        <v>INC2.P, INC2.OE, PC.L.INC2, DBUF.L.IN</v>
      </c>
      <c r="X206" s="4" t="str">
        <f>$X$6</f>
        <v>DBUF.L.IN, INSTR.L</v>
      </c>
      <c r="Y206" s="4" t="s">
        <v>45</v>
      </c>
      <c r="Z206" s="4" t="s">
        <v>46</v>
      </c>
      <c r="AA206" s="4" t="s">
        <v>54</v>
      </c>
      <c r="AB206" s="4" t="s">
        <v>55</v>
      </c>
      <c r="AC206" s="4" t="s">
        <v>284</v>
      </c>
      <c r="AD206" s="10" t="s">
        <v>296</v>
      </c>
    </row>
    <row r="207" spans="1:41">
      <c r="P207" s="9"/>
    </row>
    <row r="208" spans="1:41" ht="99.75">
      <c r="A208" s="2" t="s">
        <v>292</v>
      </c>
      <c r="B208" s="2" t="s">
        <v>301</v>
      </c>
      <c r="C208" s="2" t="s">
        <v>94</v>
      </c>
      <c r="D208" s="2" t="s">
        <v>57</v>
      </c>
      <c r="E208" s="2" t="s">
        <v>31</v>
      </c>
      <c r="F208" s="2" t="s">
        <v>45</v>
      </c>
      <c r="G208" s="2">
        <v>0</v>
      </c>
      <c r="H208" s="3">
        <v>1</v>
      </c>
      <c r="I208" s="3">
        <v>1</v>
      </c>
      <c r="J208" s="13">
        <v>0</v>
      </c>
      <c r="K208" s="3">
        <v>1</v>
      </c>
      <c r="L208" s="3">
        <v>1</v>
      </c>
      <c r="M208" s="3">
        <v>1</v>
      </c>
      <c r="N208" s="3">
        <v>0</v>
      </c>
      <c r="O208" s="3">
        <v>1</v>
      </c>
      <c r="P208" s="9" t="str">
        <f>BIN2HEX(""&amp;H208&amp;I208&amp;J208&amp;K208&amp;L208&amp;M208&amp;N208&amp;O208,2)</f>
        <v>DD</v>
      </c>
      <c r="Q208" s="2">
        <v>5</v>
      </c>
      <c r="R208" s="2" t="s">
        <v>58</v>
      </c>
      <c r="S208" s="2" t="s">
        <v>277</v>
      </c>
      <c r="T208" s="2" t="s">
        <v>302</v>
      </c>
      <c r="U208" s="14" t="s">
        <v>60</v>
      </c>
      <c r="V208" s="4" t="str">
        <f>$V$6</f>
        <v>PC.OE, ABUF.L, INC2.P, INC2.L</v>
      </c>
      <c r="W208" s="4" t="str">
        <f>$W$6</f>
        <v>INC2.P, INC2.OE, PC.L.INC2, DBUF.L.IN</v>
      </c>
      <c r="X208" s="4" t="str">
        <f>$X$6</f>
        <v>DBUF.L.IN, INSTR.L</v>
      </c>
      <c r="Y208" s="4" t="s">
        <v>45</v>
      </c>
      <c r="Z208" s="4" t="s">
        <v>46</v>
      </c>
      <c r="AA208" s="4" t="s">
        <v>35</v>
      </c>
      <c r="AB208" s="4" t="s">
        <v>36</v>
      </c>
      <c r="AC208" s="4" t="s">
        <v>37</v>
      </c>
      <c r="AD208" s="4" t="s">
        <v>45</v>
      </c>
      <c r="AE208" s="4" t="s">
        <v>46</v>
      </c>
      <c r="AF208" s="4" t="s">
        <v>35</v>
      </c>
      <c r="AG208" s="4" t="s">
        <v>36</v>
      </c>
      <c r="AH208" s="4" t="s">
        <v>61</v>
      </c>
      <c r="AI208" s="4" t="s">
        <v>46</v>
      </c>
      <c r="AJ208" s="4" t="s">
        <v>46</v>
      </c>
      <c r="AK208" s="4" t="s">
        <v>62</v>
      </c>
      <c r="AL208" s="4" t="s">
        <v>63</v>
      </c>
      <c r="AM208" s="4" t="s">
        <v>55</v>
      </c>
      <c r="AN208" s="4" t="s">
        <v>284</v>
      </c>
      <c r="AO208" s="10" t="s">
        <v>296</v>
      </c>
    </row>
    <row r="209" spans="1:41">
      <c r="G209" s="2">
        <v>1</v>
      </c>
      <c r="H209" s="3">
        <v>1</v>
      </c>
      <c r="I209" s="3">
        <v>0</v>
      </c>
      <c r="J209" s="3">
        <v>0</v>
      </c>
      <c r="K209" s="3">
        <v>0</v>
      </c>
      <c r="L209" s="3">
        <v>1</v>
      </c>
      <c r="M209" s="3">
        <v>1</v>
      </c>
      <c r="N209" s="3">
        <v>1</v>
      </c>
      <c r="O209" s="3">
        <v>0</v>
      </c>
      <c r="P209" s="9" t="str">
        <f>BIN2HEX(""&amp;H209&amp;I209&amp;J209&amp;K209&amp;L209&amp;M209&amp;N209&amp;O209,2)</f>
        <v>8E</v>
      </c>
    </row>
    <row r="210" spans="1:41">
      <c r="G210" s="2">
        <v>2</v>
      </c>
      <c r="H210" s="3" t="s">
        <v>64</v>
      </c>
      <c r="I210" s="3" t="s">
        <v>64</v>
      </c>
      <c r="J210" s="3" t="s">
        <v>64</v>
      </c>
      <c r="K210" s="3" t="s">
        <v>64</v>
      </c>
      <c r="L210" s="3" t="s">
        <v>64</v>
      </c>
      <c r="M210" s="3" t="s">
        <v>64</v>
      </c>
      <c r="N210" s="3" t="s">
        <v>64</v>
      </c>
      <c r="O210" s="3" t="s">
        <v>64</v>
      </c>
      <c r="P210" s="9"/>
    </row>
    <row r="211" spans="1:41">
      <c r="P211" s="9"/>
    </row>
    <row r="212" spans="1:41" ht="99.75">
      <c r="A212" s="2" t="s">
        <v>292</v>
      </c>
      <c r="B212" s="2" t="s">
        <v>303</v>
      </c>
      <c r="C212" s="2" t="s">
        <v>94</v>
      </c>
      <c r="D212" s="2" t="s">
        <v>66</v>
      </c>
      <c r="E212" s="2" t="s">
        <v>31</v>
      </c>
      <c r="F212" s="2" t="s">
        <v>45</v>
      </c>
      <c r="G212" s="2">
        <v>0</v>
      </c>
      <c r="H212" s="3">
        <v>1</v>
      </c>
      <c r="I212" s="3">
        <v>1</v>
      </c>
      <c r="J212" s="13">
        <v>1</v>
      </c>
      <c r="K212" s="3">
        <v>1</v>
      </c>
      <c r="L212" s="3">
        <v>1</v>
      </c>
      <c r="M212" s="3">
        <v>1</v>
      </c>
      <c r="N212" s="3">
        <v>0</v>
      </c>
      <c r="O212" s="3">
        <v>1</v>
      </c>
      <c r="P212" s="9" t="str">
        <f>BIN2HEX(""&amp;H212&amp;I212&amp;J212&amp;K212&amp;L212&amp;M212&amp;N212&amp;O212,2)</f>
        <v>FD</v>
      </c>
      <c r="Q212" s="2">
        <v>5</v>
      </c>
      <c r="R212" s="2" t="s">
        <v>58</v>
      </c>
      <c r="S212" s="2" t="s">
        <v>277</v>
      </c>
      <c r="T212" s="2" t="s">
        <v>304</v>
      </c>
      <c r="V212" s="4" t="str">
        <f>$V$6</f>
        <v>PC.OE, ABUF.L, INC2.P, INC2.L</v>
      </c>
      <c r="W212" s="4" t="str">
        <f>$W$6</f>
        <v>INC2.P, INC2.OE, PC.L.INC2, DBUF.L.IN</v>
      </c>
      <c r="X212" s="4" t="str">
        <f>$X$6</f>
        <v>DBUF.L.IN, INSTR.L</v>
      </c>
      <c r="Y212" s="4" t="s">
        <v>45</v>
      </c>
      <c r="Z212" s="4" t="s">
        <v>46</v>
      </c>
      <c r="AA212" s="4" t="s">
        <v>35</v>
      </c>
      <c r="AB212" s="4" t="s">
        <v>36</v>
      </c>
      <c r="AC212" s="4" t="s">
        <v>37</v>
      </c>
      <c r="AD212" s="4" t="s">
        <v>45</v>
      </c>
      <c r="AE212" s="4" t="s">
        <v>46</v>
      </c>
      <c r="AF212" s="4" t="s">
        <v>35</v>
      </c>
      <c r="AG212" s="4" t="s">
        <v>36</v>
      </c>
      <c r="AH212" s="4" t="s">
        <v>61</v>
      </c>
      <c r="AI212" s="4" t="s">
        <v>46</v>
      </c>
      <c r="AJ212" s="4" t="s">
        <v>46</v>
      </c>
      <c r="AK212" s="4" t="s">
        <v>79</v>
      </c>
      <c r="AL212" s="4" t="s">
        <v>63</v>
      </c>
      <c r="AM212" s="4" t="s">
        <v>55</v>
      </c>
      <c r="AN212" s="4" t="s">
        <v>284</v>
      </c>
      <c r="AO212" s="10" t="s">
        <v>296</v>
      </c>
    </row>
    <row r="213" spans="1:41">
      <c r="G213" s="2">
        <v>1</v>
      </c>
      <c r="H213" s="3">
        <v>1</v>
      </c>
      <c r="I213" s="3">
        <v>0</v>
      </c>
      <c r="J213" s="3">
        <v>0</v>
      </c>
      <c r="K213" s="3">
        <v>0</v>
      </c>
      <c r="L213" s="28">
        <v>1</v>
      </c>
      <c r="M213" s="3">
        <v>1</v>
      </c>
      <c r="N213" s="3">
        <v>1</v>
      </c>
      <c r="O213" s="3">
        <v>0</v>
      </c>
      <c r="P213" s="9" t="str">
        <f>BIN2HEX(""&amp;H213&amp;I213&amp;J213&amp;K213&amp;L213&amp;M213&amp;N213&amp;O213,2)</f>
        <v>8E</v>
      </c>
    </row>
    <row r="214" spans="1:41">
      <c r="G214" s="2">
        <v>2</v>
      </c>
      <c r="H214" s="3" t="s">
        <v>64</v>
      </c>
      <c r="I214" s="3" t="s">
        <v>64</v>
      </c>
      <c r="J214" s="3" t="s">
        <v>64</v>
      </c>
      <c r="K214" s="3" t="s">
        <v>64</v>
      </c>
      <c r="L214" s="3" t="s">
        <v>64</v>
      </c>
      <c r="M214" s="3" t="s">
        <v>64</v>
      </c>
      <c r="N214" s="3" t="s">
        <v>64</v>
      </c>
      <c r="O214" s="3" t="s">
        <v>64</v>
      </c>
      <c r="P214" s="9"/>
    </row>
    <row r="215" spans="1:41">
      <c r="P215" s="9"/>
    </row>
    <row r="216" spans="1:41" ht="71.25">
      <c r="A216" s="2" t="s">
        <v>305</v>
      </c>
      <c r="B216" s="2" t="s">
        <v>306</v>
      </c>
      <c r="C216" s="2" t="s">
        <v>29</v>
      </c>
      <c r="D216"/>
      <c r="E216" s="2" t="s">
        <v>31</v>
      </c>
      <c r="F216"/>
      <c r="G216" s="2">
        <v>0</v>
      </c>
      <c r="H216" s="3">
        <v>1</v>
      </c>
      <c r="I216" s="3">
        <v>0</v>
      </c>
      <c r="J216" s="3">
        <v>0</v>
      </c>
      <c r="K216" s="28">
        <v>1</v>
      </c>
      <c r="L216" s="3">
        <v>0</v>
      </c>
      <c r="M216" s="3" t="s">
        <v>32</v>
      </c>
      <c r="N216" s="3" t="s">
        <v>32</v>
      </c>
      <c r="O216" s="3" t="s">
        <v>32</v>
      </c>
      <c r="P216" s="9"/>
      <c r="Q216" s="2">
        <v>1</v>
      </c>
      <c r="R216" s="2">
        <v>4</v>
      </c>
      <c r="S216" s="2" t="s">
        <v>277</v>
      </c>
      <c r="T216" s="2" t="s">
        <v>307</v>
      </c>
      <c r="U216" s="29" t="s">
        <v>295</v>
      </c>
      <c r="V216" s="4" t="s">
        <v>35</v>
      </c>
      <c r="W216" s="4" t="s">
        <v>36</v>
      </c>
      <c r="X216" s="4" t="s">
        <v>37</v>
      </c>
      <c r="Y216" s="4" t="s">
        <v>308</v>
      </c>
      <c r="Z216" s="10" t="s">
        <v>309</v>
      </c>
    </row>
    <row r="217" spans="1:41">
      <c r="F217"/>
      <c r="P217" s="9"/>
    </row>
    <row r="218" spans="1:41" ht="71.25">
      <c r="A218" s="2" t="s">
        <v>305</v>
      </c>
      <c r="B218" s="2" t="s">
        <v>310</v>
      </c>
      <c r="C218" s="2" t="s">
        <v>41</v>
      </c>
      <c r="D218"/>
      <c r="E218" s="2" t="s">
        <v>42</v>
      </c>
      <c r="F218"/>
      <c r="G218" s="2">
        <v>0</v>
      </c>
      <c r="H218" s="3">
        <v>1</v>
      </c>
      <c r="I218" s="26">
        <v>1</v>
      </c>
      <c r="J218" s="3">
        <v>0</v>
      </c>
      <c r="K218" s="28">
        <v>1</v>
      </c>
      <c r="L218" s="3">
        <v>0</v>
      </c>
      <c r="M218" s="3">
        <v>1</v>
      </c>
      <c r="N218" s="3">
        <v>1</v>
      </c>
      <c r="O218" s="3">
        <v>0</v>
      </c>
      <c r="P218" s="9" t="str">
        <f>BIN2HEX(""&amp;H218&amp;I218&amp;J218&amp;K218&amp;L218&amp;M218&amp;N218&amp;O218,2)</f>
        <v>D6</v>
      </c>
      <c r="Q218" s="2">
        <v>2</v>
      </c>
      <c r="R218" s="2" t="s">
        <v>43</v>
      </c>
      <c r="S218" s="2" t="s">
        <v>277</v>
      </c>
      <c r="T218" s="2" t="s">
        <v>311</v>
      </c>
      <c r="U218" s="27" t="s">
        <v>283</v>
      </c>
      <c r="V218" s="4" t="str">
        <f>$V$6</f>
        <v>PC.OE, ABUF.L, INC2.P, INC2.L</v>
      </c>
      <c r="W218" s="4" t="str">
        <f>$W$6</f>
        <v>INC2.P, INC2.OE, PC.L.INC2, DBUF.L.IN</v>
      </c>
      <c r="X218" s="4" t="str">
        <f>$X$6</f>
        <v>DBUF.L.IN, INSTR.L</v>
      </c>
      <c r="Y218" s="4" t="s">
        <v>45</v>
      </c>
      <c r="Z218" s="4" t="s">
        <v>46</v>
      </c>
      <c r="AA218" s="4" t="s">
        <v>35</v>
      </c>
      <c r="AB218" s="4" t="s">
        <v>36</v>
      </c>
      <c r="AC218" s="4" t="s">
        <v>284</v>
      </c>
      <c r="AD218" s="4" t="s">
        <v>309</v>
      </c>
    </row>
    <row r="219" spans="1:41">
      <c r="F219"/>
      <c r="G219" s="2">
        <v>1</v>
      </c>
      <c r="H219" s="3" t="s">
        <v>48</v>
      </c>
      <c r="I219" s="3" t="s">
        <v>48</v>
      </c>
      <c r="J219" s="3" t="s">
        <v>48</v>
      </c>
      <c r="K219" s="3" t="s">
        <v>48</v>
      </c>
      <c r="L219" s="3" t="s">
        <v>48</v>
      </c>
      <c r="M219" s="3" t="s">
        <v>48</v>
      </c>
      <c r="N219" s="3" t="s">
        <v>48</v>
      </c>
      <c r="O219" s="3" t="s">
        <v>48</v>
      </c>
      <c r="P219" s="9"/>
    </row>
    <row r="220" spans="1:41">
      <c r="F220"/>
      <c r="P220" s="9"/>
    </row>
    <row r="221" spans="1:41" ht="71.25">
      <c r="A221" s="2" t="s">
        <v>305</v>
      </c>
      <c r="B221" s="2" t="s">
        <v>312</v>
      </c>
      <c r="C221" s="2" t="s">
        <v>50</v>
      </c>
      <c r="D221"/>
      <c r="E221" s="2" t="s">
        <v>51</v>
      </c>
      <c r="F221"/>
      <c r="G221" s="2">
        <v>0</v>
      </c>
      <c r="H221" s="3">
        <v>1</v>
      </c>
      <c r="I221" s="3">
        <v>0</v>
      </c>
      <c r="J221" s="3">
        <v>0</v>
      </c>
      <c r="K221" s="28">
        <v>1</v>
      </c>
      <c r="L221" s="3">
        <v>0</v>
      </c>
      <c r="M221" s="11">
        <v>1</v>
      </c>
      <c r="N221" s="11">
        <v>1</v>
      </c>
      <c r="O221" s="11">
        <v>0</v>
      </c>
      <c r="P221" s="9" t="str">
        <f>BIN2HEX(""&amp;H221&amp;I221&amp;J221&amp;K221&amp;L221&amp;M221&amp;N221&amp;O221,2)</f>
        <v>96</v>
      </c>
      <c r="Q221" s="2">
        <v>2</v>
      </c>
      <c r="R221" s="2" t="s">
        <v>43</v>
      </c>
      <c r="S221" s="2" t="s">
        <v>277</v>
      </c>
      <c r="T221" s="2" t="s">
        <v>313</v>
      </c>
      <c r="U221" s="12" t="s">
        <v>53</v>
      </c>
      <c r="V221" s="4" t="str">
        <f>$V$6</f>
        <v>PC.OE, ABUF.L, INC2.P, INC2.L</v>
      </c>
      <c r="W221" s="4" t="str">
        <f>$W$6</f>
        <v>INC2.P, INC2.OE, PC.L.INC2, DBUF.L.IN</v>
      </c>
      <c r="X221" s="4" t="str">
        <f>$X$6</f>
        <v>DBUF.L.IN, INSTR.L</v>
      </c>
      <c r="Y221" s="4" t="s">
        <v>45</v>
      </c>
      <c r="Z221" s="4" t="s">
        <v>46</v>
      </c>
      <c r="AA221" s="4" t="s">
        <v>54</v>
      </c>
      <c r="AB221" s="4" t="s">
        <v>55</v>
      </c>
      <c r="AC221" s="4" t="s">
        <v>284</v>
      </c>
      <c r="AD221" s="4" t="s">
        <v>309</v>
      </c>
    </row>
    <row r="222" spans="1:41">
      <c r="F222"/>
      <c r="P222" s="9"/>
    </row>
    <row r="223" spans="1:41" ht="99.75">
      <c r="A223" s="2" t="s">
        <v>305</v>
      </c>
      <c r="B223" s="2" t="s">
        <v>314</v>
      </c>
      <c r="C223" s="2" t="s">
        <v>57</v>
      </c>
      <c r="D223"/>
      <c r="E223" s="2" t="s">
        <v>45</v>
      </c>
      <c r="F223"/>
      <c r="G223" s="2">
        <v>0</v>
      </c>
      <c r="H223" s="3">
        <v>1</v>
      </c>
      <c r="I223" s="3">
        <v>1</v>
      </c>
      <c r="J223" s="13">
        <v>0</v>
      </c>
      <c r="K223" s="3">
        <v>1</v>
      </c>
      <c r="L223" s="3">
        <v>1</v>
      </c>
      <c r="M223" s="3">
        <v>1</v>
      </c>
      <c r="N223" s="3">
        <v>0</v>
      </c>
      <c r="O223" s="3">
        <v>1</v>
      </c>
      <c r="P223" s="9" t="str">
        <f>BIN2HEX(""&amp;H223&amp;I223&amp;J223&amp;K223&amp;L223&amp;M223&amp;N223&amp;O223,2)</f>
        <v>DD</v>
      </c>
      <c r="Q223" s="2">
        <v>5</v>
      </c>
      <c r="R223" s="2" t="s">
        <v>58</v>
      </c>
      <c r="S223" s="2" t="s">
        <v>277</v>
      </c>
      <c r="T223" s="2" t="s">
        <v>315</v>
      </c>
      <c r="U223" s="14" t="s">
        <v>60</v>
      </c>
      <c r="V223" s="4" t="str">
        <f>$V$6</f>
        <v>PC.OE, ABUF.L, INC2.P, INC2.L</v>
      </c>
      <c r="W223" s="4" t="str">
        <f>$W$6</f>
        <v>INC2.P, INC2.OE, PC.L.INC2, DBUF.L.IN</v>
      </c>
      <c r="X223" s="4" t="str">
        <f>$X$6</f>
        <v>DBUF.L.IN, INSTR.L</v>
      </c>
      <c r="Y223" s="4" t="s">
        <v>45</v>
      </c>
      <c r="Z223" s="4" t="s">
        <v>46</v>
      </c>
      <c r="AA223" s="4" t="s">
        <v>35</v>
      </c>
      <c r="AB223" s="4" t="s">
        <v>36</v>
      </c>
      <c r="AC223" s="4" t="s">
        <v>37</v>
      </c>
      <c r="AD223" s="4" t="s">
        <v>45</v>
      </c>
      <c r="AE223" s="4" t="s">
        <v>46</v>
      </c>
      <c r="AF223" s="4" t="s">
        <v>35</v>
      </c>
      <c r="AG223" s="4" t="s">
        <v>36</v>
      </c>
      <c r="AH223" s="4" t="s">
        <v>61</v>
      </c>
      <c r="AI223" s="4" t="s">
        <v>46</v>
      </c>
      <c r="AJ223" s="4" t="s">
        <v>46</v>
      </c>
      <c r="AK223" s="4" t="s">
        <v>62</v>
      </c>
      <c r="AL223" s="4" t="s">
        <v>63</v>
      </c>
      <c r="AM223" s="4" t="s">
        <v>55</v>
      </c>
      <c r="AN223" s="4" t="s">
        <v>284</v>
      </c>
      <c r="AO223" s="4" t="s">
        <v>309</v>
      </c>
    </row>
    <row r="224" spans="1:41">
      <c r="F224"/>
      <c r="G224" s="2">
        <v>1</v>
      </c>
      <c r="H224" s="3">
        <v>1</v>
      </c>
      <c r="I224" s="3">
        <v>0</v>
      </c>
      <c r="J224" s="3">
        <v>0</v>
      </c>
      <c r="K224" s="28">
        <v>1</v>
      </c>
      <c r="L224" s="3">
        <v>0</v>
      </c>
      <c r="M224" s="3">
        <v>1</v>
      </c>
      <c r="N224" s="3">
        <v>1</v>
      </c>
      <c r="O224" s="3">
        <v>0</v>
      </c>
      <c r="P224" s="9" t="str">
        <f>BIN2HEX(""&amp;H224&amp;I224&amp;J224&amp;K224&amp;L224&amp;M224&amp;N224&amp;O224,2)</f>
        <v>96</v>
      </c>
    </row>
    <row r="225" spans="1:41">
      <c r="F225"/>
      <c r="G225" s="2">
        <v>2</v>
      </c>
      <c r="H225" s="3" t="s">
        <v>64</v>
      </c>
      <c r="I225" s="3" t="s">
        <v>64</v>
      </c>
      <c r="J225" s="3" t="s">
        <v>64</v>
      </c>
      <c r="K225" s="3" t="s">
        <v>64</v>
      </c>
      <c r="L225" s="3" t="s">
        <v>64</v>
      </c>
      <c r="M225" s="3" t="s">
        <v>64</v>
      </c>
      <c r="N225" s="3" t="s">
        <v>64</v>
      </c>
      <c r="O225" s="3" t="s">
        <v>64</v>
      </c>
      <c r="P225" s="9"/>
    </row>
    <row r="226" spans="1:41">
      <c r="F226"/>
      <c r="P226" s="9"/>
    </row>
    <row r="227" spans="1:41" ht="99.75">
      <c r="A227" s="2" t="s">
        <v>305</v>
      </c>
      <c r="B227" s="2" t="s">
        <v>316</v>
      </c>
      <c r="C227" s="2" t="s">
        <v>66</v>
      </c>
      <c r="D227"/>
      <c r="E227" s="2" t="s">
        <v>45</v>
      </c>
      <c r="F227"/>
      <c r="G227" s="2">
        <v>0</v>
      </c>
      <c r="H227" s="3">
        <v>1</v>
      </c>
      <c r="I227" s="3">
        <v>1</v>
      </c>
      <c r="J227" s="13">
        <v>1</v>
      </c>
      <c r="K227" s="3">
        <v>1</v>
      </c>
      <c r="L227" s="3">
        <v>1</v>
      </c>
      <c r="M227" s="3">
        <v>1</v>
      </c>
      <c r="N227" s="3">
        <v>0</v>
      </c>
      <c r="O227" s="3">
        <v>1</v>
      </c>
      <c r="P227" s="9" t="str">
        <f>BIN2HEX(""&amp;H227&amp;I227&amp;J227&amp;K227&amp;L227&amp;M227&amp;N227&amp;O227,2)</f>
        <v>FD</v>
      </c>
      <c r="Q227" s="2">
        <v>5</v>
      </c>
      <c r="R227" s="2" t="s">
        <v>58</v>
      </c>
      <c r="S227" s="2" t="s">
        <v>277</v>
      </c>
      <c r="T227" s="2" t="s">
        <v>291</v>
      </c>
      <c r="V227" s="4" t="str">
        <f>$V$6</f>
        <v>PC.OE, ABUF.L, INC2.P, INC2.L</v>
      </c>
      <c r="W227" s="4" t="str">
        <f>$W$6</f>
        <v>INC2.P, INC2.OE, PC.L.INC2, DBUF.L.IN</v>
      </c>
      <c r="X227" s="4" t="str">
        <f>$X$6</f>
        <v>DBUF.L.IN, INSTR.L</v>
      </c>
      <c r="Y227" s="4" t="s">
        <v>45</v>
      </c>
      <c r="Z227" s="4" t="s">
        <v>46</v>
      </c>
      <c r="AA227" s="4" t="s">
        <v>35</v>
      </c>
      <c r="AB227" s="4" t="s">
        <v>36</v>
      </c>
      <c r="AC227" s="4" t="s">
        <v>37</v>
      </c>
      <c r="AD227" s="4" t="s">
        <v>45</v>
      </c>
      <c r="AE227" s="4" t="s">
        <v>46</v>
      </c>
      <c r="AF227" s="4" t="s">
        <v>35</v>
      </c>
      <c r="AG227" s="4" t="s">
        <v>36</v>
      </c>
      <c r="AH227" s="4" t="s">
        <v>61</v>
      </c>
      <c r="AI227" s="4" t="s">
        <v>46</v>
      </c>
      <c r="AJ227" s="4" t="s">
        <v>46</v>
      </c>
      <c r="AK227" s="4" t="s">
        <v>79</v>
      </c>
      <c r="AL227" s="4" t="s">
        <v>63</v>
      </c>
      <c r="AM227" s="4" t="s">
        <v>55</v>
      </c>
      <c r="AN227" s="4" t="s">
        <v>284</v>
      </c>
      <c r="AO227" s="4" t="s">
        <v>309</v>
      </c>
    </row>
    <row r="228" spans="1:41">
      <c r="F228"/>
      <c r="G228" s="2">
        <v>1</v>
      </c>
      <c r="H228" s="3">
        <v>1</v>
      </c>
      <c r="I228" s="3">
        <v>0</v>
      </c>
      <c r="J228" s="3">
        <v>0</v>
      </c>
      <c r="K228" s="28">
        <v>1</v>
      </c>
      <c r="L228" s="3">
        <v>0</v>
      </c>
      <c r="M228" s="3">
        <v>1</v>
      </c>
      <c r="N228" s="3">
        <v>1</v>
      </c>
      <c r="O228" s="3">
        <v>0</v>
      </c>
      <c r="P228" s="9" t="str">
        <f>BIN2HEX(""&amp;H228&amp;I228&amp;J228&amp;K228&amp;L228&amp;M228&amp;N228&amp;O228,2)</f>
        <v>96</v>
      </c>
    </row>
    <row r="229" spans="1:41">
      <c r="F229"/>
      <c r="G229" s="2">
        <v>2</v>
      </c>
      <c r="H229" s="3" t="s">
        <v>64</v>
      </c>
      <c r="I229" s="3" t="s">
        <v>64</v>
      </c>
      <c r="J229" s="3" t="s">
        <v>64</v>
      </c>
      <c r="K229" s="3" t="s">
        <v>64</v>
      </c>
      <c r="L229" s="3" t="s">
        <v>64</v>
      </c>
      <c r="M229" s="3" t="s">
        <v>64</v>
      </c>
      <c r="N229" s="3" t="s">
        <v>64</v>
      </c>
      <c r="O229" s="3" t="s">
        <v>64</v>
      </c>
      <c r="P229" s="9"/>
    </row>
    <row r="230" spans="1:41">
      <c r="F230"/>
      <c r="P230" s="9"/>
    </row>
    <row r="231" spans="1:41" ht="71.25">
      <c r="A231" s="2" t="s">
        <v>317</v>
      </c>
      <c r="B231" s="2" t="s">
        <v>318</v>
      </c>
      <c r="C231" s="2" t="s">
        <v>94</v>
      </c>
      <c r="D231" s="2" t="s">
        <v>29</v>
      </c>
      <c r="E231" s="2" t="s">
        <v>31</v>
      </c>
      <c r="F231" s="2" t="s">
        <v>31</v>
      </c>
      <c r="G231" s="2">
        <v>0</v>
      </c>
      <c r="H231" s="3">
        <v>1</v>
      </c>
      <c r="I231" s="3">
        <v>0</v>
      </c>
      <c r="J231" s="3">
        <v>0</v>
      </c>
      <c r="K231" s="28">
        <v>1</v>
      </c>
      <c r="L231" s="28">
        <v>1</v>
      </c>
      <c r="M231" s="3" t="s">
        <v>32</v>
      </c>
      <c r="N231" s="3" t="s">
        <v>32</v>
      </c>
      <c r="O231" s="3" t="s">
        <v>32</v>
      </c>
      <c r="P231" s="9"/>
      <c r="Q231" s="2">
        <v>1</v>
      </c>
      <c r="R231" s="2">
        <v>4</v>
      </c>
      <c r="S231" s="2" t="s">
        <v>277</v>
      </c>
      <c r="T231" s="2" t="s">
        <v>294</v>
      </c>
      <c r="U231" s="29" t="s">
        <v>295</v>
      </c>
      <c r="V231" s="4" t="s">
        <v>35</v>
      </c>
      <c r="W231" s="4" t="s">
        <v>36</v>
      </c>
      <c r="X231" s="4" t="s">
        <v>37</v>
      </c>
      <c r="Y231" s="4" t="s">
        <v>308</v>
      </c>
      <c r="Z231" s="4" t="s">
        <v>776</v>
      </c>
    </row>
    <row r="232" spans="1:41">
      <c r="P232" s="9"/>
    </row>
    <row r="233" spans="1:41" ht="71.25">
      <c r="A233" s="2" t="s">
        <v>317</v>
      </c>
      <c r="B233" s="2" t="s">
        <v>319</v>
      </c>
      <c r="C233" s="2" t="s">
        <v>94</v>
      </c>
      <c r="D233" s="2" t="s">
        <v>41</v>
      </c>
      <c r="E233" s="2" t="s">
        <v>31</v>
      </c>
      <c r="F233" s="2" t="s">
        <v>42</v>
      </c>
      <c r="G233" s="2">
        <v>0</v>
      </c>
      <c r="H233" s="3">
        <v>1</v>
      </c>
      <c r="I233" s="26">
        <v>1</v>
      </c>
      <c r="J233" s="3">
        <v>0</v>
      </c>
      <c r="K233" s="28">
        <v>1</v>
      </c>
      <c r="L233" s="28">
        <v>1</v>
      </c>
      <c r="M233" s="3">
        <v>1</v>
      </c>
      <c r="N233" s="3">
        <v>1</v>
      </c>
      <c r="O233" s="3">
        <v>0</v>
      </c>
      <c r="P233" s="9" t="str">
        <f>BIN2HEX(""&amp;H233&amp;I233&amp;J233&amp;K233&amp;L233&amp;M233&amp;N233&amp;O233,2)</f>
        <v>DE</v>
      </c>
      <c r="Q233" s="2">
        <v>2</v>
      </c>
      <c r="R233" s="2" t="s">
        <v>43</v>
      </c>
      <c r="S233" s="2" t="s">
        <v>277</v>
      </c>
      <c r="T233" s="2" t="s">
        <v>298</v>
      </c>
      <c r="U233" s="27" t="s">
        <v>283</v>
      </c>
      <c r="V233" s="4" t="str">
        <f>$V$6</f>
        <v>PC.OE, ABUF.L, INC2.P, INC2.L</v>
      </c>
      <c r="W233" s="4" t="str">
        <f>$W$6</f>
        <v>INC2.P, INC2.OE, PC.L.INC2, DBUF.L.IN</v>
      </c>
      <c r="X233" s="4" t="str">
        <f>$X$6</f>
        <v>DBUF.L.IN, INSTR.L</v>
      </c>
      <c r="Y233" s="4" t="s">
        <v>45</v>
      </c>
      <c r="Z233" s="4" t="s">
        <v>46</v>
      </c>
      <c r="AA233" s="4" t="s">
        <v>35</v>
      </c>
      <c r="AB233" s="4" t="s">
        <v>36</v>
      </c>
      <c r="AC233" s="4" t="s">
        <v>284</v>
      </c>
      <c r="AD233" s="4" t="s">
        <v>776</v>
      </c>
    </row>
    <row r="234" spans="1:41">
      <c r="G234" s="2">
        <v>1</v>
      </c>
      <c r="H234" s="3" t="s">
        <v>48</v>
      </c>
      <c r="I234" s="3" t="s">
        <v>48</v>
      </c>
      <c r="J234" s="3" t="s">
        <v>48</v>
      </c>
      <c r="K234" s="3" t="s">
        <v>48</v>
      </c>
      <c r="L234" s="3" t="s">
        <v>48</v>
      </c>
      <c r="M234" s="3" t="s">
        <v>48</v>
      </c>
      <c r="N234" s="3" t="s">
        <v>48</v>
      </c>
      <c r="O234" s="3" t="s">
        <v>48</v>
      </c>
      <c r="P234" s="9"/>
    </row>
    <row r="235" spans="1:41">
      <c r="P235" s="9"/>
    </row>
    <row r="236" spans="1:41" ht="71.25">
      <c r="A236" s="2" t="s">
        <v>317</v>
      </c>
      <c r="B236" s="2" t="s">
        <v>320</v>
      </c>
      <c r="C236" s="2" t="s">
        <v>94</v>
      </c>
      <c r="D236" s="2" t="s">
        <v>50</v>
      </c>
      <c r="E236" s="2" t="s">
        <v>31</v>
      </c>
      <c r="F236" s="2" t="s">
        <v>51</v>
      </c>
      <c r="G236" s="2">
        <v>0</v>
      </c>
      <c r="H236" s="3">
        <v>1</v>
      </c>
      <c r="I236" s="3">
        <v>0</v>
      </c>
      <c r="J236" s="3">
        <v>0</v>
      </c>
      <c r="K236" s="28">
        <v>1</v>
      </c>
      <c r="L236" s="28">
        <v>1</v>
      </c>
      <c r="M236" s="11">
        <v>1</v>
      </c>
      <c r="N236" s="11">
        <v>1</v>
      </c>
      <c r="O236" s="11">
        <v>0</v>
      </c>
      <c r="P236" s="9" t="str">
        <f>BIN2HEX(""&amp;H236&amp;I236&amp;J236&amp;K236&amp;L236&amp;M236&amp;N236&amp;O236,2)</f>
        <v>9E</v>
      </c>
      <c r="Q236" s="2">
        <v>2</v>
      </c>
      <c r="R236" s="2" t="s">
        <v>43</v>
      </c>
      <c r="S236" s="2" t="s">
        <v>277</v>
      </c>
      <c r="T236" s="2" t="s">
        <v>300</v>
      </c>
      <c r="U236" s="12" t="s">
        <v>53</v>
      </c>
      <c r="V236" s="4" t="str">
        <f>$V$6</f>
        <v>PC.OE, ABUF.L, INC2.P, INC2.L</v>
      </c>
      <c r="W236" s="4" t="str">
        <f>$W$6</f>
        <v>INC2.P, INC2.OE, PC.L.INC2, DBUF.L.IN</v>
      </c>
      <c r="X236" s="4" t="str">
        <f>$X$6</f>
        <v>DBUF.L.IN, INSTR.L</v>
      </c>
      <c r="Y236" s="4" t="s">
        <v>45</v>
      </c>
      <c r="Z236" s="4" t="s">
        <v>46</v>
      </c>
      <c r="AA236" s="4" t="s">
        <v>54</v>
      </c>
      <c r="AB236" s="4" t="s">
        <v>55</v>
      </c>
      <c r="AC236" s="4" t="s">
        <v>284</v>
      </c>
      <c r="AD236" s="4" t="s">
        <v>776</v>
      </c>
    </row>
    <row r="237" spans="1:41">
      <c r="P237" s="9"/>
    </row>
    <row r="238" spans="1:41" ht="99.75">
      <c r="A238" s="2" t="s">
        <v>317</v>
      </c>
      <c r="B238" s="2" t="s">
        <v>321</v>
      </c>
      <c r="C238" s="2" t="s">
        <v>94</v>
      </c>
      <c r="D238" s="2" t="s">
        <v>57</v>
      </c>
      <c r="E238" s="2" t="s">
        <v>31</v>
      </c>
      <c r="F238" s="2" t="s">
        <v>45</v>
      </c>
      <c r="G238" s="2">
        <v>0</v>
      </c>
      <c r="H238" s="3">
        <v>1</v>
      </c>
      <c r="I238" s="3">
        <v>1</v>
      </c>
      <c r="J238" s="3">
        <v>0</v>
      </c>
      <c r="K238" s="3">
        <v>1</v>
      </c>
      <c r="L238" s="3">
        <v>1</v>
      </c>
      <c r="M238" s="3">
        <v>1</v>
      </c>
      <c r="N238" s="3">
        <v>0</v>
      </c>
      <c r="O238" s="3">
        <v>1</v>
      </c>
      <c r="P238" s="9" t="str">
        <f>BIN2HEX(""&amp;H238&amp;I238&amp;J238&amp;K238&amp;L238&amp;M238&amp;N238&amp;O238,2)</f>
        <v>DD</v>
      </c>
      <c r="Q238" s="2">
        <v>5</v>
      </c>
      <c r="R238" s="2" t="s">
        <v>58</v>
      </c>
      <c r="S238" s="2" t="s">
        <v>277</v>
      </c>
      <c r="T238" s="2" t="s">
        <v>302</v>
      </c>
      <c r="U238" s="14" t="s">
        <v>60</v>
      </c>
      <c r="V238" s="4" t="str">
        <f>$V$6</f>
        <v>PC.OE, ABUF.L, INC2.P, INC2.L</v>
      </c>
      <c r="W238" s="4" t="str">
        <f>$W$6</f>
        <v>INC2.P, INC2.OE, PC.L.INC2, DBUF.L.IN</v>
      </c>
      <c r="X238" s="4" t="str">
        <f>$X$6</f>
        <v>DBUF.L.IN, INSTR.L</v>
      </c>
      <c r="Y238" s="4" t="s">
        <v>45</v>
      </c>
      <c r="Z238" s="4" t="s">
        <v>46</v>
      </c>
      <c r="AA238" s="4" t="s">
        <v>35</v>
      </c>
      <c r="AB238" s="4" t="s">
        <v>36</v>
      </c>
      <c r="AC238" s="4" t="s">
        <v>37</v>
      </c>
      <c r="AD238" s="4" t="s">
        <v>45</v>
      </c>
      <c r="AE238" s="4" t="s">
        <v>46</v>
      </c>
      <c r="AF238" s="4" t="s">
        <v>35</v>
      </c>
      <c r="AG238" s="4" t="s">
        <v>36</v>
      </c>
      <c r="AH238" s="4" t="s">
        <v>61</v>
      </c>
      <c r="AI238" s="4" t="s">
        <v>46</v>
      </c>
      <c r="AJ238" s="4" t="s">
        <v>46</v>
      </c>
      <c r="AK238" s="4" t="s">
        <v>62</v>
      </c>
      <c r="AL238" s="4" t="s">
        <v>63</v>
      </c>
      <c r="AM238" s="4" t="s">
        <v>55</v>
      </c>
      <c r="AN238" s="4" t="s">
        <v>284</v>
      </c>
      <c r="AO238" s="4" t="s">
        <v>776</v>
      </c>
    </row>
    <row r="239" spans="1:41">
      <c r="G239" s="2">
        <v>1</v>
      </c>
      <c r="H239" s="3">
        <v>1</v>
      </c>
      <c r="I239" s="3">
        <v>0</v>
      </c>
      <c r="J239" s="3">
        <v>0</v>
      </c>
      <c r="K239" s="28">
        <v>1</v>
      </c>
      <c r="L239" s="28">
        <v>1</v>
      </c>
      <c r="M239" s="3">
        <v>1</v>
      </c>
      <c r="N239" s="3">
        <v>1</v>
      </c>
      <c r="O239" s="3">
        <v>0</v>
      </c>
      <c r="P239" s="9" t="str">
        <f>BIN2HEX(""&amp;H239&amp;I239&amp;J239&amp;K239&amp;L239&amp;M239&amp;N239&amp;O239,2)</f>
        <v>9E</v>
      </c>
    </row>
    <row r="240" spans="1:41">
      <c r="G240" s="2">
        <v>2</v>
      </c>
      <c r="H240" s="3" t="s">
        <v>64</v>
      </c>
      <c r="I240" s="3" t="s">
        <v>64</v>
      </c>
      <c r="J240" s="3" t="s">
        <v>64</v>
      </c>
      <c r="K240" s="3" t="s">
        <v>64</v>
      </c>
      <c r="L240" s="3" t="s">
        <v>64</v>
      </c>
      <c r="M240" s="3" t="s">
        <v>64</v>
      </c>
      <c r="N240" s="3" t="s">
        <v>64</v>
      </c>
      <c r="O240" s="3" t="s">
        <v>64</v>
      </c>
      <c r="P240" s="9"/>
    </row>
    <row r="241" spans="1:41">
      <c r="P241" s="9"/>
    </row>
    <row r="242" spans="1:41" ht="99.75">
      <c r="A242" s="2" t="s">
        <v>317</v>
      </c>
      <c r="B242" s="2" t="s">
        <v>322</v>
      </c>
      <c r="C242" s="2" t="s">
        <v>94</v>
      </c>
      <c r="D242" s="2" t="s">
        <v>66</v>
      </c>
      <c r="E242" s="2" t="s">
        <v>31</v>
      </c>
      <c r="F242" s="2" t="s">
        <v>45</v>
      </c>
      <c r="G242" s="2">
        <v>0</v>
      </c>
      <c r="H242" s="3">
        <v>1</v>
      </c>
      <c r="I242" s="3">
        <v>1</v>
      </c>
      <c r="J242" s="3">
        <v>1</v>
      </c>
      <c r="K242" s="3">
        <v>1</v>
      </c>
      <c r="L242" s="3">
        <v>1</v>
      </c>
      <c r="M242" s="3">
        <v>1</v>
      </c>
      <c r="N242" s="3">
        <v>0</v>
      </c>
      <c r="O242" s="3">
        <v>1</v>
      </c>
      <c r="P242" s="9" t="str">
        <f>BIN2HEX(""&amp;H242&amp;I242&amp;J242&amp;K242&amp;L242&amp;M242&amp;N242&amp;O242,2)</f>
        <v>FD</v>
      </c>
      <c r="Q242" s="2">
        <v>5</v>
      </c>
      <c r="R242" s="2" t="s">
        <v>58</v>
      </c>
      <c r="S242" s="2" t="s">
        <v>277</v>
      </c>
      <c r="T242" s="2" t="s">
        <v>304</v>
      </c>
      <c r="V242" s="4" t="str">
        <f>$V$6</f>
        <v>PC.OE, ABUF.L, INC2.P, INC2.L</v>
      </c>
      <c r="W242" s="4" t="str">
        <f>$W$6</f>
        <v>INC2.P, INC2.OE, PC.L.INC2, DBUF.L.IN</v>
      </c>
      <c r="X242" s="4" t="str">
        <f>$X$6</f>
        <v>DBUF.L.IN, INSTR.L</v>
      </c>
      <c r="Y242" s="4" t="s">
        <v>45</v>
      </c>
      <c r="Z242" s="4" t="s">
        <v>46</v>
      </c>
      <c r="AA242" s="4" t="s">
        <v>35</v>
      </c>
      <c r="AB242" s="4" t="s">
        <v>36</v>
      </c>
      <c r="AC242" s="4" t="s">
        <v>37</v>
      </c>
      <c r="AD242" s="4" t="s">
        <v>45</v>
      </c>
      <c r="AE242" s="4" t="s">
        <v>46</v>
      </c>
      <c r="AF242" s="4" t="s">
        <v>35</v>
      </c>
      <c r="AG242" s="4" t="s">
        <v>36</v>
      </c>
      <c r="AH242" s="4" t="s">
        <v>61</v>
      </c>
      <c r="AI242" s="4" t="s">
        <v>46</v>
      </c>
      <c r="AJ242" s="4" t="s">
        <v>46</v>
      </c>
      <c r="AK242" s="4" t="s">
        <v>79</v>
      </c>
      <c r="AL242" s="4" t="s">
        <v>63</v>
      </c>
      <c r="AM242" s="4" t="s">
        <v>55</v>
      </c>
      <c r="AN242" s="4" t="s">
        <v>284</v>
      </c>
      <c r="AO242" s="4" t="s">
        <v>776</v>
      </c>
    </row>
    <row r="243" spans="1:41">
      <c r="G243" s="2">
        <v>1</v>
      </c>
      <c r="H243" s="3">
        <v>1</v>
      </c>
      <c r="I243" s="3">
        <v>0</v>
      </c>
      <c r="J243" s="3">
        <v>0</v>
      </c>
      <c r="K243" s="28">
        <v>1</v>
      </c>
      <c r="L243" s="28">
        <v>1</v>
      </c>
      <c r="M243" s="3">
        <v>1</v>
      </c>
      <c r="N243" s="3">
        <v>1</v>
      </c>
      <c r="O243" s="3">
        <v>0</v>
      </c>
      <c r="P243" s="9" t="str">
        <f>BIN2HEX(""&amp;H243&amp;I243&amp;J243&amp;K243&amp;L243&amp;M243&amp;N243&amp;O243,2)</f>
        <v>9E</v>
      </c>
    </row>
    <row r="244" spans="1:41">
      <c r="G244" s="2">
        <v>2</v>
      </c>
      <c r="H244" s="3" t="s">
        <v>64</v>
      </c>
      <c r="I244" s="3" t="s">
        <v>64</v>
      </c>
      <c r="J244" s="3" t="s">
        <v>64</v>
      </c>
      <c r="K244" s="3" t="s">
        <v>64</v>
      </c>
      <c r="L244" s="3" t="s">
        <v>64</v>
      </c>
      <c r="M244" s="3" t="s">
        <v>64</v>
      </c>
      <c r="N244" s="3" t="s">
        <v>64</v>
      </c>
      <c r="O244" s="3" t="s">
        <v>64</v>
      </c>
      <c r="P244" s="9"/>
    </row>
    <row r="245" spans="1:41">
      <c r="P245" s="9"/>
    </row>
    <row r="246" spans="1:41">
      <c r="A246" s="2" t="s">
        <v>323</v>
      </c>
      <c r="B246" s="2" t="s">
        <v>324</v>
      </c>
      <c r="C246" s="2" t="s">
        <v>29</v>
      </c>
      <c r="D246"/>
      <c r="E246" s="2" t="s">
        <v>31</v>
      </c>
      <c r="F246"/>
      <c r="G246" s="2">
        <v>0</v>
      </c>
      <c r="H246" s="3">
        <v>1</v>
      </c>
      <c r="I246" s="3">
        <v>0</v>
      </c>
      <c r="J246" s="28">
        <v>1</v>
      </c>
      <c r="K246" s="3">
        <v>0</v>
      </c>
      <c r="L246" s="3">
        <v>0</v>
      </c>
      <c r="M246" s="3" t="s">
        <v>32</v>
      </c>
      <c r="N246" s="3" t="s">
        <v>32</v>
      </c>
      <c r="O246" s="3" t="s">
        <v>32</v>
      </c>
      <c r="P246" s="9"/>
      <c r="Q246" s="2">
        <v>1</v>
      </c>
      <c r="R246" s="2">
        <v>4</v>
      </c>
      <c r="S246" s="2" t="s">
        <v>277</v>
      </c>
      <c r="T246" s="2" t="s">
        <v>325</v>
      </c>
      <c r="U246" s="29" t="s">
        <v>295</v>
      </c>
    </row>
    <row r="247" spans="1:41">
      <c r="F247"/>
      <c r="P247" s="9"/>
    </row>
    <row r="248" spans="1:41">
      <c r="A248" s="2" t="s">
        <v>323</v>
      </c>
      <c r="B248" s="2" t="s">
        <v>326</v>
      </c>
      <c r="C248" s="2" t="s">
        <v>41</v>
      </c>
      <c r="D248"/>
      <c r="E248" s="2" t="s">
        <v>42</v>
      </c>
      <c r="F248"/>
      <c r="G248" s="2">
        <v>0</v>
      </c>
      <c r="H248" s="3">
        <v>1</v>
      </c>
      <c r="I248" s="26">
        <v>1</v>
      </c>
      <c r="J248" s="28">
        <v>1</v>
      </c>
      <c r="K248" s="3">
        <v>0</v>
      </c>
      <c r="L248" s="3">
        <v>0</v>
      </c>
      <c r="M248" s="3">
        <v>1</v>
      </c>
      <c r="N248" s="3">
        <v>1</v>
      </c>
      <c r="O248" s="3">
        <v>0</v>
      </c>
      <c r="P248" s="9" t="str">
        <f>BIN2HEX(""&amp;H248&amp;I248&amp;J248&amp;K248&amp;L248&amp;M248&amp;N248&amp;O248,2)</f>
        <v>E6</v>
      </c>
      <c r="Q248" s="2">
        <v>2</v>
      </c>
      <c r="R248" s="2" t="s">
        <v>43</v>
      </c>
      <c r="S248" s="2" t="s">
        <v>277</v>
      </c>
      <c r="T248" s="2" t="s">
        <v>327</v>
      </c>
      <c r="U248" s="27" t="s">
        <v>283</v>
      </c>
    </row>
    <row r="249" spans="1:41">
      <c r="F249"/>
      <c r="G249" s="2">
        <v>1</v>
      </c>
      <c r="H249" s="3" t="s">
        <v>48</v>
      </c>
      <c r="I249" s="3" t="s">
        <v>48</v>
      </c>
      <c r="J249" s="3" t="s">
        <v>48</v>
      </c>
      <c r="K249" s="3" t="s">
        <v>48</v>
      </c>
      <c r="L249" s="3" t="s">
        <v>48</v>
      </c>
      <c r="M249" s="3" t="s">
        <v>48</v>
      </c>
      <c r="N249" s="3" t="s">
        <v>48</v>
      </c>
      <c r="O249" s="3" t="s">
        <v>48</v>
      </c>
      <c r="P249" s="9"/>
    </row>
    <row r="250" spans="1:41">
      <c r="F250"/>
      <c r="P250" s="9"/>
    </row>
    <row r="251" spans="1:41">
      <c r="A251" s="2" t="s">
        <v>323</v>
      </c>
      <c r="B251" s="2" t="s">
        <v>328</v>
      </c>
      <c r="C251" s="2" t="s">
        <v>50</v>
      </c>
      <c r="D251"/>
      <c r="E251" s="2" t="s">
        <v>51</v>
      </c>
      <c r="F251"/>
      <c r="G251" s="2">
        <v>0</v>
      </c>
      <c r="H251" s="3">
        <v>1</v>
      </c>
      <c r="I251" s="3">
        <v>0</v>
      </c>
      <c r="J251" s="28">
        <v>1</v>
      </c>
      <c r="K251" s="3">
        <v>0</v>
      </c>
      <c r="L251" s="3">
        <v>0</v>
      </c>
      <c r="M251" s="11">
        <v>1</v>
      </c>
      <c r="N251" s="11">
        <v>1</v>
      </c>
      <c r="O251" s="11">
        <v>0</v>
      </c>
      <c r="P251" s="9" t="str">
        <f>BIN2HEX(""&amp;H251&amp;I251&amp;J251&amp;K251&amp;L251&amp;M251&amp;N251&amp;O251,2)</f>
        <v>A6</v>
      </c>
      <c r="Q251" s="2">
        <v>2</v>
      </c>
      <c r="R251" s="2" t="s">
        <v>43</v>
      </c>
      <c r="S251" s="2" t="s">
        <v>277</v>
      </c>
      <c r="T251" s="2" t="s">
        <v>329</v>
      </c>
      <c r="U251" s="12" t="s">
        <v>53</v>
      </c>
    </row>
    <row r="252" spans="1:41">
      <c r="F252"/>
      <c r="P252" s="9"/>
    </row>
    <row r="253" spans="1:41">
      <c r="A253" s="2" t="s">
        <v>323</v>
      </c>
      <c r="B253" s="2" t="s">
        <v>330</v>
      </c>
      <c r="C253" s="2" t="s">
        <v>57</v>
      </c>
      <c r="D253"/>
      <c r="E253" s="2" t="s">
        <v>45</v>
      </c>
      <c r="F253"/>
      <c r="G253" s="2">
        <v>0</v>
      </c>
      <c r="H253" s="3">
        <v>1</v>
      </c>
      <c r="I253" s="3">
        <v>1</v>
      </c>
      <c r="J253" s="13">
        <v>0</v>
      </c>
      <c r="K253" s="3">
        <v>1</v>
      </c>
      <c r="L253" s="3">
        <v>1</v>
      </c>
      <c r="M253" s="3">
        <v>1</v>
      </c>
      <c r="N253" s="3">
        <v>0</v>
      </c>
      <c r="O253" s="3">
        <v>1</v>
      </c>
      <c r="P253" s="9" t="str">
        <f>BIN2HEX(""&amp;H253&amp;I253&amp;J253&amp;K253&amp;L253&amp;M253&amp;N253&amp;O253,2)</f>
        <v>DD</v>
      </c>
      <c r="Q253" s="2">
        <v>5</v>
      </c>
      <c r="R253" s="2" t="s">
        <v>58</v>
      </c>
      <c r="S253" s="2" t="s">
        <v>277</v>
      </c>
      <c r="T253" s="2" t="s">
        <v>331</v>
      </c>
      <c r="U253" s="14" t="s">
        <v>60</v>
      </c>
    </row>
    <row r="254" spans="1:41">
      <c r="F254"/>
      <c r="G254" s="2">
        <v>1</v>
      </c>
      <c r="H254" s="3">
        <v>1</v>
      </c>
      <c r="I254" s="3">
        <v>0</v>
      </c>
      <c r="J254" s="28">
        <v>1</v>
      </c>
      <c r="K254" s="3">
        <v>0</v>
      </c>
      <c r="L254" s="3">
        <v>0</v>
      </c>
      <c r="M254" s="3">
        <v>1</v>
      </c>
      <c r="N254" s="3">
        <v>1</v>
      </c>
      <c r="O254" s="3">
        <v>0</v>
      </c>
      <c r="P254" s="9" t="str">
        <f>BIN2HEX(""&amp;H254&amp;I254&amp;J254&amp;K254&amp;L254&amp;M254&amp;N254&amp;O254,2)</f>
        <v>A6</v>
      </c>
    </row>
    <row r="255" spans="1:41">
      <c r="F255"/>
      <c r="G255" s="2">
        <v>2</v>
      </c>
      <c r="H255" s="3" t="s">
        <v>64</v>
      </c>
      <c r="I255" s="3" t="s">
        <v>64</v>
      </c>
      <c r="J255" s="3" t="s">
        <v>64</v>
      </c>
      <c r="K255" s="3" t="s">
        <v>64</v>
      </c>
      <c r="L255" s="3" t="s">
        <v>64</v>
      </c>
      <c r="M255" s="3" t="s">
        <v>64</v>
      </c>
      <c r="N255" s="3" t="s">
        <v>64</v>
      </c>
      <c r="O255" s="3" t="s">
        <v>64</v>
      </c>
      <c r="P255" s="9"/>
    </row>
    <row r="256" spans="1:41">
      <c r="F256"/>
      <c r="P256" s="9"/>
    </row>
    <row r="257" spans="1:41">
      <c r="A257" s="2" t="s">
        <v>323</v>
      </c>
      <c r="B257" s="2" t="s">
        <v>332</v>
      </c>
      <c r="C257" s="2" t="s">
        <v>66</v>
      </c>
      <c r="D257"/>
      <c r="E257" s="2" t="s">
        <v>45</v>
      </c>
      <c r="F257"/>
      <c r="G257" s="2">
        <v>0</v>
      </c>
      <c r="H257" s="3">
        <v>1</v>
      </c>
      <c r="I257" s="3">
        <v>1</v>
      </c>
      <c r="J257" s="13">
        <v>1</v>
      </c>
      <c r="K257" s="3">
        <v>1</v>
      </c>
      <c r="L257" s="3">
        <v>1</v>
      </c>
      <c r="M257" s="3">
        <v>1</v>
      </c>
      <c r="N257" s="3">
        <v>0</v>
      </c>
      <c r="O257" s="3">
        <v>1</v>
      </c>
      <c r="P257" s="9" t="str">
        <f>BIN2HEX(""&amp;H257&amp;I257&amp;J257&amp;K257&amp;L257&amp;M257&amp;N257&amp;O257,2)</f>
        <v>FD</v>
      </c>
      <c r="Q257" s="2">
        <v>5</v>
      </c>
      <c r="R257" s="2" t="s">
        <v>58</v>
      </c>
      <c r="S257" s="2" t="s">
        <v>277</v>
      </c>
      <c r="T257" s="2" t="s">
        <v>333</v>
      </c>
    </row>
    <row r="258" spans="1:41">
      <c r="F258"/>
      <c r="G258" s="2">
        <v>1</v>
      </c>
      <c r="H258" s="3">
        <v>1</v>
      </c>
      <c r="I258" s="3">
        <v>0</v>
      </c>
      <c r="J258" s="28">
        <v>1</v>
      </c>
      <c r="K258" s="3">
        <v>0</v>
      </c>
      <c r="L258" s="3">
        <v>0</v>
      </c>
      <c r="M258" s="3">
        <v>1</v>
      </c>
      <c r="N258" s="3">
        <v>1</v>
      </c>
      <c r="O258" s="3">
        <v>0</v>
      </c>
      <c r="P258" s="9" t="str">
        <f>BIN2HEX(""&amp;H258&amp;I258&amp;J258&amp;K258&amp;L258&amp;M258&amp;N258&amp;O258,2)</f>
        <v>A6</v>
      </c>
    </row>
    <row r="259" spans="1:41">
      <c r="F259"/>
      <c r="G259" s="2">
        <v>2</v>
      </c>
      <c r="H259" s="3" t="s">
        <v>64</v>
      </c>
      <c r="I259" s="3" t="s">
        <v>64</v>
      </c>
      <c r="J259" s="3" t="s">
        <v>64</v>
      </c>
      <c r="K259" s="3" t="s">
        <v>64</v>
      </c>
      <c r="L259" s="3" t="s">
        <v>64</v>
      </c>
      <c r="M259" s="3" t="s">
        <v>64</v>
      </c>
      <c r="N259" s="3" t="s">
        <v>64</v>
      </c>
      <c r="O259" s="3" t="s">
        <v>64</v>
      </c>
      <c r="P259" s="9"/>
    </row>
    <row r="260" spans="1:41">
      <c r="F260"/>
      <c r="P260" s="9"/>
    </row>
    <row r="261" spans="1:41" ht="71.25">
      <c r="A261" s="2" t="s">
        <v>334</v>
      </c>
      <c r="B261" s="2" t="s">
        <v>335</v>
      </c>
      <c r="C261" s="2" t="s">
        <v>29</v>
      </c>
      <c r="D261"/>
      <c r="E261" s="2" t="s">
        <v>31</v>
      </c>
      <c r="F261"/>
      <c r="G261" s="2">
        <v>0</v>
      </c>
      <c r="H261" s="3">
        <v>1</v>
      </c>
      <c r="I261" s="3">
        <v>0</v>
      </c>
      <c r="J261" s="28">
        <v>1</v>
      </c>
      <c r="K261" s="28">
        <v>1</v>
      </c>
      <c r="L261" s="3">
        <v>0</v>
      </c>
      <c r="M261" s="3" t="s">
        <v>32</v>
      </c>
      <c r="N261" s="3" t="s">
        <v>32</v>
      </c>
      <c r="O261" s="3" t="s">
        <v>32</v>
      </c>
      <c r="P261" s="9"/>
      <c r="Q261" s="2">
        <v>1</v>
      </c>
      <c r="R261" s="2">
        <v>4</v>
      </c>
      <c r="S261" s="2" t="s">
        <v>277</v>
      </c>
      <c r="T261" s="2" t="s">
        <v>336</v>
      </c>
      <c r="U261" s="29" t="s">
        <v>337</v>
      </c>
      <c r="V261" s="4" t="s">
        <v>35</v>
      </c>
      <c r="W261" s="4" t="s">
        <v>36</v>
      </c>
      <c r="X261" s="4" t="s">
        <v>37</v>
      </c>
      <c r="Y261" s="4" t="s">
        <v>308</v>
      </c>
      <c r="Z261" s="4" t="s">
        <v>781</v>
      </c>
    </row>
    <row r="262" spans="1:41">
      <c r="F262"/>
      <c r="P262" s="9"/>
    </row>
    <row r="263" spans="1:41" ht="71.25">
      <c r="A263" s="2" t="s">
        <v>334</v>
      </c>
      <c r="B263" s="2" t="s">
        <v>338</v>
      </c>
      <c r="C263" s="2" t="s">
        <v>41</v>
      </c>
      <c r="D263"/>
      <c r="E263" s="2" t="s">
        <v>42</v>
      </c>
      <c r="F263"/>
      <c r="G263" s="2">
        <v>0</v>
      </c>
      <c r="H263" s="3">
        <v>1</v>
      </c>
      <c r="I263" s="26">
        <v>1</v>
      </c>
      <c r="J263" s="28">
        <v>1</v>
      </c>
      <c r="K263" s="28">
        <v>1</v>
      </c>
      <c r="L263" s="3">
        <v>0</v>
      </c>
      <c r="M263" s="3">
        <v>1</v>
      </c>
      <c r="N263" s="3">
        <v>1</v>
      </c>
      <c r="O263" s="3">
        <v>0</v>
      </c>
      <c r="P263" s="9" t="str">
        <f>BIN2HEX(""&amp;H263&amp;I263&amp;J263&amp;K263&amp;L263&amp;M263&amp;N263&amp;O263,2)</f>
        <v>F6</v>
      </c>
      <c r="Q263" s="2">
        <v>2</v>
      </c>
      <c r="R263" s="2" t="s">
        <v>43</v>
      </c>
      <c r="S263" s="2" t="s">
        <v>277</v>
      </c>
      <c r="T263" s="2" t="s">
        <v>339</v>
      </c>
      <c r="U263" s="27" t="s">
        <v>283</v>
      </c>
      <c r="V263" s="4" t="str">
        <f>$V$6</f>
        <v>PC.OE, ABUF.L, INC2.P, INC2.L</v>
      </c>
      <c r="W263" s="4" t="str">
        <f>$W$6</f>
        <v>INC2.P, INC2.OE, PC.L.INC2, DBUF.L.IN</v>
      </c>
      <c r="X263" s="4" t="str">
        <f>$X$6</f>
        <v>DBUF.L.IN, INSTR.L</v>
      </c>
      <c r="Y263" s="4" t="s">
        <v>45</v>
      </c>
      <c r="Z263" s="4" t="s">
        <v>46</v>
      </c>
      <c r="AA263" s="4" t="s">
        <v>35</v>
      </c>
      <c r="AB263" s="4" t="s">
        <v>36</v>
      </c>
      <c r="AC263" s="4" t="s">
        <v>284</v>
      </c>
      <c r="AD263" s="4" t="s">
        <v>781</v>
      </c>
    </row>
    <row r="264" spans="1:41">
      <c r="F264"/>
      <c r="G264" s="2">
        <v>1</v>
      </c>
      <c r="H264" s="3" t="s">
        <v>48</v>
      </c>
      <c r="I264" s="3" t="s">
        <v>48</v>
      </c>
      <c r="J264" s="3" t="s">
        <v>48</v>
      </c>
      <c r="K264" s="3" t="s">
        <v>48</v>
      </c>
      <c r="L264" s="3" t="s">
        <v>48</v>
      </c>
      <c r="M264" s="3" t="s">
        <v>48</v>
      </c>
      <c r="N264" s="3" t="s">
        <v>48</v>
      </c>
      <c r="O264" s="3" t="s">
        <v>48</v>
      </c>
      <c r="P264" s="9"/>
    </row>
    <row r="265" spans="1:41">
      <c r="F265"/>
      <c r="P265" s="9"/>
    </row>
    <row r="266" spans="1:41" ht="71.25">
      <c r="A266" s="2" t="s">
        <v>334</v>
      </c>
      <c r="B266" s="2" t="s">
        <v>340</v>
      </c>
      <c r="C266" s="2" t="s">
        <v>50</v>
      </c>
      <c r="D266"/>
      <c r="E266" s="2" t="s">
        <v>51</v>
      </c>
      <c r="F266"/>
      <c r="G266" s="2">
        <v>0</v>
      </c>
      <c r="H266" s="3">
        <v>1</v>
      </c>
      <c r="I266" s="3">
        <v>0</v>
      </c>
      <c r="J266" s="28">
        <v>1</v>
      </c>
      <c r="K266" s="28">
        <v>1</v>
      </c>
      <c r="L266" s="3">
        <v>0</v>
      </c>
      <c r="M266" s="11">
        <v>1</v>
      </c>
      <c r="N266" s="11">
        <v>1</v>
      </c>
      <c r="O266" s="11">
        <v>0</v>
      </c>
      <c r="P266" s="9" t="str">
        <f>BIN2HEX(""&amp;H266&amp;I266&amp;J266&amp;K266&amp;L266&amp;M266&amp;N266&amp;O266,2)</f>
        <v>B6</v>
      </c>
      <c r="Q266" s="2">
        <v>2</v>
      </c>
      <c r="R266" s="2" t="s">
        <v>43</v>
      </c>
      <c r="S266" s="2" t="s">
        <v>277</v>
      </c>
      <c r="T266" s="2" t="s">
        <v>341</v>
      </c>
      <c r="U266" s="12" t="s">
        <v>53</v>
      </c>
      <c r="V266" s="4" t="str">
        <f>$V$6</f>
        <v>PC.OE, ABUF.L, INC2.P, INC2.L</v>
      </c>
      <c r="W266" s="4" t="str">
        <f>$W$6</f>
        <v>INC2.P, INC2.OE, PC.L.INC2, DBUF.L.IN</v>
      </c>
      <c r="X266" s="4" t="str">
        <f>$X$6</f>
        <v>DBUF.L.IN, INSTR.L</v>
      </c>
      <c r="Y266" s="4" t="s">
        <v>45</v>
      </c>
      <c r="Z266" s="4" t="s">
        <v>46</v>
      </c>
      <c r="AA266" s="4" t="s">
        <v>54</v>
      </c>
      <c r="AB266" s="4" t="s">
        <v>55</v>
      </c>
      <c r="AC266" s="4" t="s">
        <v>284</v>
      </c>
      <c r="AD266" s="4" t="s">
        <v>781</v>
      </c>
    </row>
    <row r="267" spans="1:41">
      <c r="F267"/>
      <c r="P267" s="9"/>
    </row>
    <row r="268" spans="1:41" ht="99.75">
      <c r="A268" s="2" t="s">
        <v>334</v>
      </c>
      <c r="B268" s="2" t="s">
        <v>342</v>
      </c>
      <c r="C268" s="2" t="s">
        <v>57</v>
      </c>
      <c r="D268"/>
      <c r="E268" s="2" t="s">
        <v>45</v>
      </c>
      <c r="F268"/>
      <c r="G268" s="2">
        <v>0</v>
      </c>
      <c r="H268" s="3">
        <v>1</v>
      </c>
      <c r="I268" s="3">
        <v>1</v>
      </c>
      <c r="J268" s="13">
        <v>0</v>
      </c>
      <c r="K268" s="3">
        <v>1</v>
      </c>
      <c r="L268" s="3">
        <v>1</v>
      </c>
      <c r="M268" s="3">
        <v>1</v>
      </c>
      <c r="N268" s="3">
        <v>0</v>
      </c>
      <c r="O268" s="3">
        <v>1</v>
      </c>
      <c r="P268" s="9" t="str">
        <f>BIN2HEX(""&amp;H268&amp;I268&amp;J268&amp;K268&amp;L268&amp;M268&amp;N268&amp;O268,2)</f>
        <v>DD</v>
      </c>
      <c r="Q268" s="2">
        <v>5</v>
      </c>
      <c r="R268" s="2" t="s">
        <v>58</v>
      </c>
      <c r="S268" s="2" t="s">
        <v>277</v>
      </c>
      <c r="T268" s="2" t="s">
        <v>343</v>
      </c>
      <c r="U268" s="14" t="s">
        <v>60</v>
      </c>
      <c r="V268" s="4" t="str">
        <f>$V$6</f>
        <v>PC.OE, ABUF.L, INC2.P, INC2.L</v>
      </c>
      <c r="W268" s="4" t="str">
        <f>$W$6</f>
        <v>INC2.P, INC2.OE, PC.L.INC2, DBUF.L.IN</v>
      </c>
      <c r="X268" s="4" t="str">
        <f>$X$6</f>
        <v>DBUF.L.IN, INSTR.L</v>
      </c>
      <c r="Y268" s="4" t="s">
        <v>45</v>
      </c>
      <c r="Z268" s="4" t="s">
        <v>46</v>
      </c>
      <c r="AA268" s="4" t="s">
        <v>35</v>
      </c>
      <c r="AB268" s="4" t="s">
        <v>36</v>
      </c>
      <c r="AC268" s="4" t="s">
        <v>37</v>
      </c>
      <c r="AD268" s="4" t="s">
        <v>45</v>
      </c>
      <c r="AE268" s="4" t="s">
        <v>46</v>
      </c>
      <c r="AF268" s="4" t="s">
        <v>35</v>
      </c>
      <c r="AG268" s="4" t="s">
        <v>36</v>
      </c>
      <c r="AH268" s="4" t="s">
        <v>61</v>
      </c>
      <c r="AI268" s="4" t="s">
        <v>46</v>
      </c>
      <c r="AJ268" s="4" t="s">
        <v>46</v>
      </c>
      <c r="AK268" s="4" t="s">
        <v>62</v>
      </c>
      <c r="AL268" s="4" t="s">
        <v>63</v>
      </c>
      <c r="AM268" s="4" t="s">
        <v>55</v>
      </c>
      <c r="AN268" s="4" t="s">
        <v>284</v>
      </c>
      <c r="AO268" s="4" t="s">
        <v>781</v>
      </c>
    </row>
    <row r="269" spans="1:41">
      <c r="F269"/>
      <c r="G269" s="2">
        <v>1</v>
      </c>
      <c r="H269" s="3">
        <v>1</v>
      </c>
      <c r="I269" s="3">
        <v>0</v>
      </c>
      <c r="J269" s="28">
        <v>1</v>
      </c>
      <c r="K269" s="28">
        <v>1</v>
      </c>
      <c r="L269" s="3">
        <v>0</v>
      </c>
      <c r="M269" s="3">
        <v>1</v>
      </c>
      <c r="N269" s="3">
        <v>1</v>
      </c>
      <c r="O269" s="3">
        <v>0</v>
      </c>
      <c r="P269" s="9" t="str">
        <f>BIN2HEX(""&amp;H269&amp;I269&amp;J269&amp;K269&amp;L269&amp;M269&amp;N269&amp;O269,2)</f>
        <v>B6</v>
      </c>
    </row>
    <row r="270" spans="1:41">
      <c r="F270"/>
      <c r="G270" s="2">
        <v>2</v>
      </c>
      <c r="H270" s="3" t="s">
        <v>64</v>
      </c>
      <c r="I270" s="3" t="s">
        <v>64</v>
      </c>
      <c r="J270" s="3" t="s">
        <v>64</v>
      </c>
      <c r="K270" s="3" t="s">
        <v>64</v>
      </c>
      <c r="L270" s="3" t="s">
        <v>64</v>
      </c>
      <c r="M270" s="3" t="s">
        <v>64</v>
      </c>
      <c r="N270" s="3" t="s">
        <v>64</v>
      </c>
      <c r="O270" s="3" t="s">
        <v>64</v>
      </c>
      <c r="P270" s="9"/>
    </row>
    <row r="271" spans="1:41">
      <c r="F271"/>
      <c r="P271" s="9"/>
    </row>
    <row r="272" spans="1:41" ht="99.75">
      <c r="A272" s="2" t="s">
        <v>334</v>
      </c>
      <c r="B272" s="2" t="s">
        <v>344</v>
      </c>
      <c r="C272" s="2" t="s">
        <v>66</v>
      </c>
      <c r="D272"/>
      <c r="E272" s="2" t="s">
        <v>45</v>
      </c>
      <c r="F272"/>
      <c r="G272" s="2">
        <v>0</v>
      </c>
      <c r="H272" s="3">
        <v>1</v>
      </c>
      <c r="I272" s="3">
        <v>1</v>
      </c>
      <c r="J272" s="13">
        <v>1</v>
      </c>
      <c r="K272" s="3">
        <v>1</v>
      </c>
      <c r="L272" s="3">
        <v>1</v>
      </c>
      <c r="M272" s="3">
        <v>1</v>
      </c>
      <c r="N272" s="3">
        <v>0</v>
      </c>
      <c r="O272" s="3">
        <v>1</v>
      </c>
      <c r="P272" s="9" t="str">
        <f>BIN2HEX(""&amp;H272&amp;I272&amp;J272&amp;K272&amp;L272&amp;M272&amp;N272&amp;O272,2)</f>
        <v>FD</v>
      </c>
      <c r="Q272" s="2">
        <v>5</v>
      </c>
      <c r="R272" s="2" t="s">
        <v>58</v>
      </c>
      <c r="S272" s="2" t="s">
        <v>277</v>
      </c>
      <c r="T272" s="2" t="s">
        <v>345</v>
      </c>
      <c r="V272" s="4" t="str">
        <f>$V$6</f>
        <v>PC.OE, ABUF.L, INC2.P, INC2.L</v>
      </c>
      <c r="W272" s="4" t="str">
        <f>$W$6</f>
        <v>INC2.P, INC2.OE, PC.L.INC2, DBUF.L.IN</v>
      </c>
      <c r="X272" s="4" t="str">
        <f>$X$6</f>
        <v>DBUF.L.IN, INSTR.L</v>
      </c>
      <c r="Y272" s="4" t="s">
        <v>45</v>
      </c>
      <c r="Z272" s="4" t="s">
        <v>46</v>
      </c>
      <c r="AA272" s="4" t="s">
        <v>35</v>
      </c>
      <c r="AB272" s="4" t="s">
        <v>36</v>
      </c>
      <c r="AC272" s="4" t="s">
        <v>37</v>
      </c>
      <c r="AD272" s="4" t="s">
        <v>45</v>
      </c>
      <c r="AE272" s="4" t="s">
        <v>46</v>
      </c>
      <c r="AF272" s="4" t="s">
        <v>35</v>
      </c>
      <c r="AG272" s="4" t="s">
        <v>36</v>
      </c>
      <c r="AH272" s="4" t="s">
        <v>61</v>
      </c>
      <c r="AI272" s="4" t="s">
        <v>46</v>
      </c>
      <c r="AJ272" s="4" t="s">
        <v>46</v>
      </c>
      <c r="AK272" s="4" t="s">
        <v>79</v>
      </c>
      <c r="AL272" s="4" t="s">
        <v>63</v>
      </c>
      <c r="AM272" s="4" t="s">
        <v>55</v>
      </c>
      <c r="AN272" s="4" t="s">
        <v>284</v>
      </c>
      <c r="AO272" s="4" t="s">
        <v>781</v>
      </c>
    </row>
    <row r="273" spans="1:21">
      <c r="F273"/>
      <c r="G273" s="2">
        <v>1</v>
      </c>
      <c r="H273" s="3">
        <v>1</v>
      </c>
      <c r="I273" s="3">
        <v>0</v>
      </c>
      <c r="J273" s="28">
        <v>1</v>
      </c>
      <c r="K273" s="28">
        <v>1</v>
      </c>
      <c r="L273" s="3">
        <v>0</v>
      </c>
      <c r="M273" s="3">
        <v>1</v>
      </c>
      <c r="N273" s="3">
        <v>1</v>
      </c>
      <c r="O273" s="3">
        <v>0</v>
      </c>
      <c r="P273" s="9" t="str">
        <f>BIN2HEX(""&amp;H273&amp;I273&amp;J273&amp;K273&amp;L273&amp;M273&amp;N273&amp;O273,2)</f>
        <v>B6</v>
      </c>
    </row>
    <row r="274" spans="1:21">
      <c r="F274"/>
      <c r="G274" s="2">
        <v>2</v>
      </c>
      <c r="H274" s="3" t="s">
        <v>64</v>
      </c>
      <c r="I274" s="3" t="s">
        <v>64</v>
      </c>
      <c r="J274" s="3" t="s">
        <v>64</v>
      </c>
      <c r="K274" s="3" t="s">
        <v>64</v>
      </c>
      <c r="L274" s="3" t="s">
        <v>64</v>
      </c>
      <c r="M274" s="3" t="s">
        <v>64</v>
      </c>
      <c r="N274" s="3" t="s">
        <v>64</v>
      </c>
      <c r="O274" s="3" t="s">
        <v>64</v>
      </c>
      <c r="P274" s="9"/>
    </row>
    <row r="275" spans="1:21">
      <c r="F275"/>
      <c r="P275" s="9"/>
    </row>
    <row r="276" spans="1:21">
      <c r="A276" s="2" t="s">
        <v>346</v>
      </c>
      <c r="B276" s="2" t="s">
        <v>347</v>
      </c>
      <c r="C276" s="2" t="s">
        <v>29</v>
      </c>
      <c r="D276"/>
      <c r="E276" s="2" t="s">
        <v>31</v>
      </c>
      <c r="F276"/>
      <c r="G276" s="2">
        <v>0</v>
      </c>
      <c r="H276" s="3">
        <v>1</v>
      </c>
      <c r="I276" s="3">
        <v>0</v>
      </c>
      <c r="J276" s="28">
        <v>1</v>
      </c>
      <c r="K276" s="3">
        <v>0</v>
      </c>
      <c r="L276" s="28">
        <v>1</v>
      </c>
      <c r="M276" s="3" t="s">
        <v>32</v>
      </c>
      <c r="N276" s="3" t="s">
        <v>32</v>
      </c>
      <c r="O276" s="3" t="s">
        <v>32</v>
      </c>
      <c r="P276" s="9"/>
      <c r="Q276" s="2">
        <v>1</v>
      </c>
      <c r="R276" s="2">
        <v>4</v>
      </c>
      <c r="S276" s="2" t="s">
        <v>277</v>
      </c>
      <c r="T276" s="2" t="s">
        <v>278</v>
      </c>
      <c r="U276" s="29" t="s">
        <v>337</v>
      </c>
    </row>
    <row r="277" spans="1:21">
      <c r="F277"/>
      <c r="P277" s="9"/>
    </row>
    <row r="278" spans="1:21">
      <c r="A278" s="2" t="s">
        <v>346</v>
      </c>
      <c r="B278" s="2" t="s">
        <v>348</v>
      </c>
      <c r="C278" s="2" t="s">
        <v>41</v>
      </c>
      <c r="D278"/>
      <c r="E278" s="2" t="s">
        <v>42</v>
      </c>
      <c r="F278"/>
      <c r="G278" s="2">
        <v>0</v>
      </c>
      <c r="H278" s="3">
        <v>1</v>
      </c>
      <c r="I278" s="26">
        <v>1</v>
      </c>
      <c r="J278" s="28">
        <v>1</v>
      </c>
      <c r="K278" s="3">
        <v>0</v>
      </c>
      <c r="L278" s="28">
        <v>1</v>
      </c>
      <c r="M278" s="3">
        <v>1</v>
      </c>
      <c r="N278" s="3">
        <v>1</v>
      </c>
      <c r="O278" s="3">
        <v>0</v>
      </c>
      <c r="P278" s="9" t="str">
        <f>BIN2HEX(""&amp;H278&amp;I278&amp;J278&amp;K278&amp;L278&amp;M278&amp;N278&amp;O278,2)</f>
        <v>EE</v>
      </c>
      <c r="Q278" s="2">
        <v>2</v>
      </c>
      <c r="R278" s="2" t="s">
        <v>43</v>
      </c>
      <c r="S278" s="2" t="s">
        <v>277</v>
      </c>
      <c r="T278" s="2" t="s">
        <v>282</v>
      </c>
      <c r="U278" s="27" t="s">
        <v>283</v>
      </c>
    </row>
    <row r="279" spans="1:21">
      <c r="F279"/>
      <c r="G279" s="2">
        <v>1</v>
      </c>
      <c r="H279" s="3" t="s">
        <v>48</v>
      </c>
      <c r="I279" s="3" t="s">
        <v>48</v>
      </c>
      <c r="J279" s="3" t="s">
        <v>48</v>
      </c>
      <c r="K279" s="3" t="s">
        <v>48</v>
      </c>
      <c r="L279" s="3" t="s">
        <v>48</v>
      </c>
      <c r="M279" s="3" t="s">
        <v>48</v>
      </c>
      <c r="N279" s="3" t="s">
        <v>48</v>
      </c>
      <c r="O279" s="3" t="s">
        <v>48</v>
      </c>
      <c r="P279" s="9"/>
    </row>
    <row r="280" spans="1:21">
      <c r="F280"/>
      <c r="P280" s="9"/>
      <c r="U280" s="2" t="s">
        <v>349</v>
      </c>
    </row>
    <row r="281" spans="1:21">
      <c r="A281" s="2" t="s">
        <v>346</v>
      </c>
      <c r="B281" s="2" t="s">
        <v>350</v>
      </c>
      <c r="C281" s="2" t="s">
        <v>50</v>
      </c>
      <c r="D281"/>
      <c r="E281" s="2" t="s">
        <v>51</v>
      </c>
      <c r="F281"/>
      <c r="G281" s="2">
        <v>0</v>
      </c>
      <c r="H281" s="3">
        <v>1</v>
      </c>
      <c r="I281" s="3">
        <v>0</v>
      </c>
      <c r="J281" s="28">
        <v>1</v>
      </c>
      <c r="K281" s="3">
        <v>0</v>
      </c>
      <c r="L281" s="28">
        <v>1</v>
      </c>
      <c r="M281" s="11">
        <v>1</v>
      </c>
      <c r="N281" s="11">
        <v>1</v>
      </c>
      <c r="O281" s="11">
        <v>0</v>
      </c>
      <c r="P281" s="9" t="str">
        <f>BIN2HEX(""&amp;H281&amp;I281&amp;J281&amp;K281&amp;L281&amp;M281&amp;N281&amp;O281,2)</f>
        <v>AE</v>
      </c>
      <c r="Q281" s="2">
        <v>2</v>
      </c>
      <c r="R281" s="2" t="s">
        <v>43</v>
      </c>
      <c r="S281" s="2" t="s">
        <v>277</v>
      </c>
      <c r="T281" s="2" t="s">
        <v>287</v>
      </c>
      <c r="U281" s="12" t="s">
        <v>53</v>
      </c>
    </row>
    <row r="282" spans="1:21">
      <c r="F282"/>
      <c r="P282" s="9"/>
    </row>
    <row r="283" spans="1:21">
      <c r="A283" s="2" t="s">
        <v>346</v>
      </c>
      <c r="B283" s="2" t="s">
        <v>351</v>
      </c>
      <c r="C283" s="2" t="s">
        <v>57</v>
      </c>
      <c r="D283"/>
      <c r="E283" s="2" t="s">
        <v>45</v>
      </c>
      <c r="F283"/>
      <c r="G283" s="2">
        <v>0</v>
      </c>
      <c r="H283" s="3">
        <v>1</v>
      </c>
      <c r="I283" s="3">
        <v>1</v>
      </c>
      <c r="J283" s="13">
        <v>0</v>
      </c>
      <c r="K283" s="3">
        <v>1</v>
      </c>
      <c r="L283" s="3">
        <v>1</v>
      </c>
      <c r="M283" s="3">
        <v>1</v>
      </c>
      <c r="N283" s="3">
        <v>0</v>
      </c>
      <c r="O283" s="3">
        <v>1</v>
      </c>
      <c r="P283" s="9" t="str">
        <f>BIN2HEX(""&amp;H283&amp;I283&amp;J283&amp;K283&amp;L283&amp;M283&amp;N283&amp;O283,2)</f>
        <v>DD</v>
      </c>
      <c r="Q283" s="2">
        <v>5</v>
      </c>
      <c r="R283" s="2" t="s">
        <v>58</v>
      </c>
      <c r="S283" s="2" t="s">
        <v>277</v>
      </c>
      <c r="T283" s="2" t="s">
        <v>289</v>
      </c>
      <c r="U283" s="14" t="s">
        <v>60</v>
      </c>
    </row>
    <row r="284" spans="1:21">
      <c r="F284"/>
      <c r="G284" s="2">
        <v>1</v>
      </c>
      <c r="H284" s="3">
        <v>1</v>
      </c>
      <c r="I284" s="3">
        <v>0</v>
      </c>
      <c r="J284" s="28">
        <v>1</v>
      </c>
      <c r="K284" s="3">
        <v>0</v>
      </c>
      <c r="L284" s="28">
        <v>1</v>
      </c>
      <c r="M284" s="3">
        <v>1</v>
      </c>
      <c r="N284" s="3">
        <v>1</v>
      </c>
      <c r="O284" s="3">
        <v>0</v>
      </c>
      <c r="P284" s="9" t="str">
        <f>BIN2HEX(""&amp;H284&amp;I284&amp;J284&amp;K284&amp;L284&amp;M284&amp;N284&amp;O284,2)</f>
        <v>AE</v>
      </c>
    </row>
    <row r="285" spans="1:21">
      <c r="F285"/>
      <c r="G285" s="2">
        <v>2</v>
      </c>
      <c r="H285" s="3" t="s">
        <v>64</v>
      </c>
      <c r="I285" s="3" t="s">
        <v>64</v>
      </c>
      <c r="J285" s="3" t="s">
        <v>64</v>
      </c>
      <c r="K285" s="3" t="s">
        <v>64</v>
      </c>
      <c r="L285" s="3" t="s">
        <v>64</v>
      </c>
      <c r="M285" s="3" t="s">
        <v>64</v>
      </c>
      <c r="N285" s="3" t="s">
        <v>64</v>
      </c>
      <c r="O285" s="3" t="s">
        <v>64</v>
      </c>
      <c r="P285" s="9"/>
    </row>
    <row r="286" spans="1:21">
      <c r="F286"/>
      <c r="P286" s="9"/>
    </row>
    <row r="287" spans="1:21">
      <c r="A287" s="2" t="s">
        <v>346</v>
      </c>
      <c r="B287" s="2" t="s">
        <v>352</v>
      </c>
      <c r="C287" s="2" t="s">
        <v>66</v>
      </c>
      <c r="D287"/>
      <c r="E287" s="2" t="s">
        <v>45</v>
      </c>
      <c r="F287"/>
      <c r="G287" s="2">
        <v>0</v>
      </c>
      <c r="H287" s="3">
        <v>1</v>
      </c>
      <c r="I287" s="3">
        <v>1</v>
      </c>
      <c r="J287" s="13">
        <v>1</v>
      </c>
      <c r="K287" s="3">
        <v>1</v>
      </c>
      <c r="L287" s="3">
        <v>1</v>
      </c>
      <c r="M287" s="3">
        <v>1</v>
      </c>
      <c r="N287" s="3">
        <v>0</v>
      </c>
      <c r="O287" s="3">
        <v>1</v>
      </c>
      <c r="P287" s="9" t="str">
        <f>BIN2HEX(""&amp;H287&amp;I287&amp;J287&amp;K287&amp;L287&amp;M287&amp;N287&amp;O287,2)</f>
        <v>FD</v>
      </c>
      <c r="Q287" s="2">
        <v>5</v>
      </c>
      <c r="R287" s="2" t="s">
        <v>58</v>
      </c>
      <c r="S287" s="2" t="s">
        <v>277</v>
      </c>
      <c r="T287" s="2" t="s">
        <v>291</v>
      </c>
    </row>
    <row r="288" spans="1:21">
      <c r="G288" s="2">
        <v>1</v>
      </c>
      <c r="H288" s="3">
        <v>1</v>
      </c>
      <c r="I288" s="3">
        <v>0</v>
      </c>
      <c r="J288" s="28">
        <v>1</v>
      </c>
      <c r="K288" s="3">
        <v>0</v>
      </c>
      <c r="L288" s="28">
        <v>1</v>
      </c>
      <c r="M288" s="3">
        <v>1</v>
      </c>
      <c r="N288" s="3">
        <v>1</v>
      </c>
      <c r="O288" s="3">
        <v>0</v>
      </c>
      <c r="P288" s="9" t="str">
        <f>BIN2HEX(""&amp;H288&amp;I288&amp;J288&amp;K288&amp;L288&amp;M288&amp;N288&amp;O288,2)</f>
        <v>AE</v>
      </c>
    </row>
    <row r="289" spans="1:21">
      <c r="G289" s="2">
        <v>2</v>
      </c>
      <c r="H289" s="3" t="s">
        <v>64</v>
      </c>
      <c r="I289" s="3" t="s">
        <v>64</v>
      </c>
      <c r="J289" s="3" t="s">
        <v>64</v>
      </c>
      <c r="K289" s="3" t="s">
        <v>64</v>
      </c>
      <c r="L289" s="3" t="s">
        <v>64</v>
      </c>
      <c r="M289" s="3" t="s">
        <v>64</v>
      </c>
      <c r="N289" s="3" t="s">
        <v>64</v>
      </c>
      <c r="O289" s="3" t="s">
        <v>64</v>
      </c>
      <c r="P289" s="9"/>
    </row>
    <row r="290" spans="1:21">
      <c r="P290" s="9"/>
    </row>
    <row r="291" spans="1:21">
      <c r="A291" s="2" t="s">
        <v>353</v>
      </c>
      <c r="B291" s="2" t="s">
        <v>354</v>
      </c>
      <c r="C291" s="2" t="s">
        <v>29</v>
      </c>
      <c r="D291"/>
      <c r="E291" s="2" t="s">
        <v>31</v>
      </c>
      <c r="F291"/>
      <c r="G291" s="2">
        <v>0</v>
      </c>
      <c r="H291" s="3">
        <v>1</v>
      </c>
      <c r="I291" s="3">
        <v>0</v>
      </c>
      <c r="J291" s="28">
        <v>1</v>
      </c>
      <c r="K291" s="28">
        <v>1</v>
      </c>
      <c r="L291" s="28">
        <v>1</v>
      </c>
      <c r="M291" s="3" t="s">
        <v>32</v>
      </c>
      <c r="N291" s="3" t="s">
        <v>32</v>
      </c>
      <c r="O291" s="3" t="s">
        <v>32</v>
      </c>
      <c r="P291" s="9"/>
      <c r="Q291" s="2">
        <v>1</v>
      </c>
      <c r="R291" s="2">
        <v>4</v>
      </c>
      <c r="S291" s="2" t="s">
        <v>277</v>
      </c>
      <c r="T291" s="2" t="s">
        <v>355</v>
      </c>
    </row>
    <row r="292" spans="1:21">
      <c r="F292"/>
      <c r="P292" s="9"/>
    </row>
    <row r="293" spans="1:21">
      <c r="A293" s="2" t="s">
        <v>353</v>
      </c>
      <c r="B293" s="2" t="s">
        <v>356</v>
      </c>
      <c r="C293" s="2" t="s">
        <v>41</v>
      </c>
      <c r="D293"/>
      <c r="E293" s="2" t="s">
        <v>42</v>
      </c>
      <c r="F293"/>
      <c r="G293" s="2">
        <v>0</v>
      </c>
      <c r="H293" s="3">
        <v>1</v>
      </c>
      <c r="I293" s="26">
        <v>1</v>
      </c>
      <c r="J293" s="28">
        <v>1</v>
      </c>
      <c r="K293" s="28">
        <v>1</v>
      </c>
      <c r="L293" s="28">
        <v>1</v>
      </c>
      <c r="M293" s="3">
        <v>1</v>
      </c>
      <c r="N293" s="3">
        <v>1</v>
      </c>
      <c r="O293" s="3">
        <v>0</v>
      </c>
      <c r="P293" s="9" t="str">
        <f>BIN2HEX(""&amp;H293&amp;I293&amp;J293&amp;K293&amp;L293&amp;M293&amp;N293&amp;O293,2)</f>
        <v>FE</v>
      </c>
      <c r="Q293" s="2">
        <v>2</v>
      </c>
      <c r="R293" s="2" t="s">
        <v>43</v>
      </c>
      <c r="S293" s="2" t="s">
        <v>277</v>
      </c>
      <c r="T293" s="2" t="s">
        <v>357</v>
      </c>
      <c r="U293" s="27" t="s">
        <v>283</v>
      </c>
    </row>
    <row r="294" spans="1:21">
      <c r="F294"/>
      <c r="G294" s="2">
        <v>1</v>
      </c>
      <c r="H294" s="3" t="s">
        <v>48</v>
      </c>
      <c r="I294" s="3" t="s">
        <v>48</v>
      </c>
      <c r="J294" s="3" t="s">
        <v>48</v>
      </c>
      <c r="K294" s="3" t="s">
        <v>48</v>
      </c>
      <c r="L294" s="3" t="s">
        <v>48</v>
      </c>
      <c r="M294" s="3" t="s">
        <v>48</v>
      </c>
      <c r="N294" s="3" t="s">
        <v>48</v>
      </c>
      <c r="O294" s="3" t="s">
        <v>48</v>
      </c>
      <c r="P294" s="9"/>
    </row>
    <row r="295" spans="1:21">
      <c r="F295"/>
      <c r="P295" s="9"/>
    </row>
    <row r="296" spans="1:21">
      <c r="A296" s="2" t="s">
        <v>353</v>
      </c>
      <c r="B296" s="2" t="s">
        <v>358</v>
      </c>
      <c r="C296" s="2" t="s">
        <v>50</v>
      </c>
      <c r="D296"/>
      <c r="E296" s="2" t="s">
        <v>51</v>
      </c>
      <c r="F296"/>
      <c r="G296" s="2">
        <v>0</v>
      </c>
      <c r="H296" s="3">
        <v>1</v>
      </c>
      <c r="I296" s="3">
        <v>0</v>
      </c>
      <c r="J296" s="3">
        <v>1</v>
      </c>
      <c r="K296" s="3">
        <v>1</v>
      </c>
      <c r="L296" s="3">
        <v>1</v>
      </c>
      <c r="M296" s="11">
        <v>1</v>
      </c>
      <c r="N296" s="11">
        <v>1</v>
      </c>
      <c r="O296" s="11">
        <v>0</v>
      </c>
      <c r="P296" s="9" t="str">
        <f>BIN2HEX(""&amp;H296&amp;I296&amp;J296&amp;K296&amp;L296&amp;M296&amp;N296&amp;O296,2)</f>
        <v>BE</v>
      </c>
      <c r="Q296" s="2">
        <v>2</v>
      </c>
      <c r="R296" s="2" t="s">
        <v>43</v>
      </c>
      <c r="S296" s="2" t="s">
        <v>277</v>
      </c>
      <c r="T296" s="2" t="s">
        <v>359</v>
      </c>
      <c r="U296" s="12" t="s">
        <v>53</v>
      </c>
    </row>
    <row r="297" spans="1:21">
      <c r="F297"/>
      <c r="P297" s="9"/>
    </row>
    <row r="298" spans="1:21">
      <c r="A298" s="2" t="s">
        <v>353</v>
      </c>
      <c r="B298" s="2" t="s">
        <v>360</v>
      </c>
      <c r="C298" s="2" t="s">
        <v>57</v>
      </c>
      <c r="D298"/>
      <c r="E298" s="2" t="s">
        <v>45</v>
      </c>
      <c r="F298"/>
      <c r="G298" s="2">
        <v>0</v>
      </c>
      <c r="H298" s="3">
        <v>1</v>
      </c>
      <c r="I298" s="3">
        <v>1</v>
      </c>
      <c r="J298" s="13">
        <v>0</v>
      </c>
      <c r="K298" s="3">
        <v>1</v>
      </c>
      <c r="L298" s="3">
        <v>1</v>
      </c>
      <c r="M298" s="3">
        <v>1</v>
      </c>
      <c r="N298" s="3">
        <v>0</v>
      </c>
      <c r="O298" s="3">
        <v>1</v>
      </c>
      <c r="P298" s="9" t="str">
        <f>BIN2HEX(""&amp;H298&amp;I298&amp;J298&amp;K298&amp;L298&amp;M298&amp;N298&amp;O298,2)</f>
        <v>DD</v>
      </c>
      <c r="Q298" s="2">
        <v>5</v>
      </c>
      <c r="R298" s="2" t="s">
        <v>58</v>
      </c>
      <c r="S298" s="2" t="s">
        <v>277</v>
      </c>
      <c r="T298" s="2" t="s">
        <v>361</v>
      </c>
      <c r="U298" s="14" t="s">
        <v>60</v>
      </c>
    </row>
    <row r="299" spans="1:21">
      <c r="F299"/>
      <c r="G299" s="2">
        <v>1</v>
      </c>
      <c r="H299" s="3">
        <v>1</v>
      </c>
      <c r="I299" s="3">
        <v>0</v>
      </c>
      <c r="J299" s="28">
        <v>1</v>
      </c>
      <c r="K299" s="28">
        <v>1</v>
      </c>
      <c r="L299" s="28">
        <v>1</v>
      </c>
      <c r="M299" s="3">
        <v>1</v>
      </c>
      <c r="N299" s="3">
        <v>1</v>
      </c>
      <c r="O299" s="3">
        <v>0</v>
      </c>
      <c r="P299" s="9" t="str">
        <f>BIN2HEX(""&amp;H299&amp;I299&amp;J299&amp;K299&amp;L299&amp;M299&amp;N299&amp;O299,2)</f>
        <v>BE</v>
      </c>
    </row>
    <row r="300" spans="1:21">
      <c r="F300"/>
      <c r="G300" s="2">
        <v>2</v>
      </c>
      <c r="H300" s="3" t="s">
        <v>64</v>
      </c>
      <c r="I300" s="3" t="s">
        <v>64</v>
      </c>
      <c r="J300" s="3" t="s">
        <v>64</v>
      </c>
      <c r="K300" s="3" t="s">
        <v>64</v>
      </c>
      <c r="L300" s="3" t="s">
        <v>64</v>
      </c>
      <c r="M300" s="3" t="s">
        <v>64</v>
      </c>
      <c r="N300" s="3" t="s">
        <v>64</v>
      </c>
      <c r="O300" s="3" t="s">
        <v>64</v>
      </c>
      <c r="P300" s="9"/>
    </row>
    <row r="301" spans="1:21">
      <c r="F301"/>
      <c r="P301" s="9"/>
    </row>
    <row r="302" spans="1:21">
      <c r="A302" s="2" t="s">
        <v>353</v>
      </c>
      <c r="B302" s="2" t="s">
        <v>362</v>
      </c>
      <c r="C302" s="2" t="s">
        <v>66</v>
      </c>
      <c r="D302"/>
      <c r="E302" s="2" t="s">
        <v>45</v>
      </c>
      <c r="F302"/>
      <c r="G302" s="2">
        <v>0</v>
      </c>
      <c r="H302" s="3">
        <v>1</v>
      </c>
      <c r="I302" s="3">
        <v>1</v>
      </c>
      <c r="J302" s="13">
        <v>1</v>
      </c>
      <c r="K302" s="3">
        <v>1</v>
      </c>
      <c r="L302" s="3">
        <v>1</v>
      </c>
      <c r="M302" s="3">
        <v>1</v>
      </c>
      <c r="N302" s="3">
        <v>0</v>
      </c>
      <c r="O302" s="3">
        <v>1</v>
      </c>
      <c r="P302" s="9" t="str">
        <f>BIN2HEX(""&amp;H302&amp;I302&amp;J302&amp;K302&amp;L302&amp;M302&amp;N302&amp;O302,2)</f>
        <v>FD</v>
      </c>
      <c r="Q302" s="2">
        <v>5</v>
      </c>
      <c r="R302" s="2" t="s">
        <v>58</v>
      </c>
      <c r="S302" s="2" t="s">
        <v>277</v>
      </c>
      <c r="T302" s="2" t="s">
        <v>363</v>
      </c>
    </row>
    <row r="303" spans="1:21">
      <c r="G303" s="2">
        <v>1</v>
      </c>
      <c r="H303" s="3">
        <v>1</v>
      </c>
      <c r="I303" s="3">
        <v>0</v>
      </c>
      <c r="J303" s="28">
        <v>1</v>
      </c>
      <c r="K303" s="28">
        <v>1</v>
      </c>
      <c r="L303" s="28">
        <v>1</v>
      </c>
      <c r="M303" s="3">
        <v>1</v>
      </c>
      <c r="N303" s="3">
        <v>1</v>
      </c>
      <c r="O303" s="3">
        <v>0</v>
      </c>
      <c r="P303" s="9" t="str">
        <f>BIN2HEX(""&amp;H303&amp;I303&amp;J303&amp;K303&amp;L303&amp;M303&amp;N303&amp;O303,2)</f>
        <v>BE</v>
      </c>
    </row>
    <row r="304" spans="1:21">
      <c r="G304" s="2">
        <v>2</v>
      </c>
      <c r="H304" s="3" t="s">
        <v>64</v>
      </c>
      <c r="I304" s="3" t="s">
        <v>64</v>
      </c>
      <c r="J304" s="3" t="s">
        <v>64</v>
      </c>
      <c r="K304" s="3" t="s">
        <v>64</v>
      </c>
      <c r="L304" s="3" t="s">
        <v>64</v>
      </c>
      <c r="M304" s="3" t="s">
        <v>64</v>
      </c>
      <c r="N304" s="3" t="s">
        <v>64</v>
      </c>
      <c r="O304" s="3" t="s">
        <v>64</v>
      </c>
      <c r="P304" s="9"/>
    </row>
    <row r="305" spans="1:21">
      <c r="P305" s="9"/>
    </row>
    <row r="306" spans="1:21">
      <c r="A306" s="2" t="s">
        <v>364</v>
      </c>
      <c r="B306" s="2" t="s">
        <v>365</v>
      </c>
      <c r="C306" s="2" t="s">
        <v>29</v>
      </c>
      <c r="E306" s="2" t="s">
        <v>31</v>
      </c>
      <c r="G306" s="2">
        <v>0</v>
      </c>
      <c r="H306" s="3">
        <v>0</v>
      </c>
      <c r="I306" s="3">
        <v>0</v>
      </c>
      <c r="J306" s="3" t="s">
        <v>32</v>
      </c>
      <c r="K306" s="3" t="s">
        <v>32</v>
      </c>
      <c r="L306" s="3" t="s">
        <v>32</v>
      </c>
      <c r="M306" s="3">
        <v>1</v>
      </c>
      <c r="N306" s="3">
        <v>0</v>
      </c>
      <c r="O306" s="3">
        <v>0</v>
      </c>
      <c r="P306" s="9"/>
      <c r="Q306" s="2">
        <v>1</v>
      </c>
      <c r="R306" s="2">
        <v>4</v>
      </c>
      <c r="S306" s="2" t="s">
        <v>123</v>
      </c>
      <c r="T306" s="2" t="s">
        <v>366</v>
      </c>
    </row>
    <row r="307" spans="1:21">
      <c r="P307" s="9"/>
    </row>
    <row r="308" spans="1:21">
      <c r="A308" s="2" t="s">
        <v>364</v>
      </c>
      <c r="B308" s="2" t="s">
        <v>367</v>
      </c>
      <c r="C308" s="2" t="s">
        <v>50</v>
      </c>
      <c r="E308" s="2" t="s">
        <v>51</v>
      </c>
      <c r="G308" s="2">
        <v>0</v>
      </c>
      <c r="H308" s="3">
        <v>0</v>
      </c>
      <c r="I308" s="3">
        <v>0</v>
      </c>
      <c r="J308" s="11">
        <v>1</v>
      </c>
      <c r="K308" s="11">
        <v>1</v>
      </c>
      <c r="L308" s="11">
        <v>0</v>
      </c>
      <c r="M308" s="3">
        <v>1</v>
      </c>
      <c r="N308" s="3">
        <v>0</v>
      </c>
      <c r="O308" s="3">
        <v>0</v>
      </c>
      <c r="P308" s="9" t="str">
        <f>BIN2HEX(""&amp;H308&amp;I308&amp;J308&amp;K308&amp;L308&amp;M308&amp;N308&amp;O308,2)</f>
        <v>34</v>
      </c>
      <c r="Q308" s="2">
        <v>3</v>
      </c>
      <c r="R308" s="2" t="s">
        <v>368</v>
      </c>
      <c r="S308" s="2" t="s">
        <v>123</v>
      </c>
      <c r="T308" s="2" t="s">
        <v>369</v>
      </c>
      <c r="U308" s="12" t="s">
        <v>53</v>
      </c>
    </row>
    <row r="309" spans="1:21">
      <c r="P309" s="9"/>
    </row>
    <row r="310" spans="1:21">
      <c r="A310" s="2" t="s">
        <v>364</v>
      </c>
      <c r="B310" s="2" t="s">
        <v>370</v>
      </c>
      <c r="C310" s="2" t="s">
        <v>57</v>
      </c>
      <c r="E310" s="2" t="s">
        <v>45</v>
      </c>
      <c r="G310" s="2">
        <v>0</v>
      </c>
      <c r="H310" s="3">
        <v>1</v>
      </c>
      <c r="I310" s="3">
        <v>1</v>
      </c>
      <c r="J310" s="13">
        <v>0</v>
      </c>
      <c r="K310" s="3">
        <v>1</v>
      </c>
      <c r="L310" s="3">
        <v>1</v>
      </c>
      <c r="M310" s="3">
        <v>1</v>
      </c>
      <c r="N310" s="3">
        <v>0</v>
      </c>
      <c r="O310" s="3">
        <v>1</v>
      </c>
      <c r="P310" s="9" t="str">
        <f>BIN2HEX(""&amp;H310&amp;I310&amp;J310&amp;K310&amp;L310&amp;M310&amp;N310&amp;O310,2)</f>
        <v>DD</v>
      </c>
      <c r="Q310" s="2">
        <v>6</v>
      </c>
      <c r="R310" s="2" t="s">
        <v>252</v>
      </c>
      <c r="S310" s="2" t="s">
        <v>123</v>
      </c>
      <c r="T310" s="2" t="s">
        <v>371</v>
      </c>
      <c r="U310" s="14" t="s">
        <v>60</v>
      </c>
    </row>
    <row r="311" spans="1:21">
      <c r="G311" s="2">
        <v>1</v>
      </c>
      <c r="H311" s="3">
        <v>0</v>
      </c>
      <c r="I311" s="3">
        <v>0</v>
      </c>
      <c r="J311" s="3">
        <v>1</v>
      </c>
      <c r="K311" s="3">
        <v>1</v>
      </c>
      <c r="L311" s="3">
        <v>0</v>
      </c>
      <c r="M311" s="3">
        <v>1</v>
      </c>
      <c r="N311" s="3">
        <v>0</v>
      </c>
      <c r="O311" s="3">
        <v>0</v>
      </c>
      <c r="P311" s="9" t="str">
        <f>BIN2HEX(""&amp;H311&amp;I311&amp;J311&amp;K311&amp;L311&amp;M311&amp;N311&amp;O311,2)</f>
        <v>34</v>
      </c>
    </row>
    <row r="312" spans="1:21">
      <c r="G312" s="2">
        <v>2</v>
      </c>
      <c r="H312" s="3" t="s">
        <v>64</v>
      </c>
      <c r="I312" s="3" t="s">
        <v>64</v>
      </c>
      <c r="J312" s="3" t="s">
        <v>64</v>
      </c>
      <c r="K312" s="3" t="s">
        <v>64</v>
      </c>
      <c r="L312" s="3" t="s">
        <v>64</v>
      </c>
      <c r="M312" s="3" t="s">
        <v>64</v>
      </c>
      <c r="N312" s="3" t="s">
        <v>64</v>
      </c>
      <c r="O312" s="3" t="s">
        <v>64</v>
      </c>
      <c r="P312" s="9"/>
    </row>
    <row r="313" spans="1:21">
      <c r="P313" s="9"/>
    </row>
    <row r="314" spans="1:21">
      <c r="A314" s="2" t="s">
        <v>364</v>
      </c>
      <c r="B314" s="2" t="s">
        <v>372</v>
      </c>
      <c r="C314" s="2" t="s">
        <v>66</v>
      </c>
      <c r="E314" s="2" t="s">
        <v>45</v>
      </c>
      <c r="G314" s="2">
        <v>0</v>
      </c>
      <c r="H314" s="3">
        <v>1</v>
      </c>
      <c r="I314" s="3">
        <v>1</v>
      </c>
      <c r="J314" s="13">
        <v>1</v>
      </c>
      <c r="K314" s="3">
        <v>1</v>
      </c>
      <c r="L314" s="3">
        <v>1</v>
      </c>
      <c r="M314" s="3">
        <v>1</v>
      </c>
      <c r="N314" s="3">
        <v>0</v>
      </c>
      <c r="O314" s="3">
        <v>1</v>
      </c>
      <c r="P314" s="9" t="str">
        <f>BIN2HEX(""&amp;H314&amp;I314&amp;J314&amp;K314&amp;L314&amp;M314&amp;N314&amp;O314,2)</f>
        <v>FD</v>
      </c>
      <c r="Q314" s="2">
        <v>6</v>
      </c>
      <c r="R314" s="2" t="s">
        <v>252</v>
      </c>
      <c r="S314" s="2" t="s">
        <v>123</v>
      </c>
      <c r="T314" s="2" t="s">
        <v>373</v>
      </c>
    </row>
    <row r="315" spans="1:21">
      <c r="G315" s="2">
        <v>1</v>
      </c>
      <c r="H315" s="3">
        <v>0</v>
      </c>
      <c r="I315" s="3">
        <v>0</v>
      </c>
      <c r="J315" s="3">
        <v>1</v>
      </c>
      <c r="K315" s="3">
        <v>1</v>
      </c>
      <c r="L315" s="3">
        <v>0</v>
      </c>
      <c r="M315" s="3">
        <v>1</v>
      </c>
      <c r="N315" s="3">
        <v>0</v>
      </c>
      <c r="O315" s="3">
        <v>0</v>
      </c>
      <c r="P315" s="9" t="str">
        <f>BIN2HEX(""&amp;H315&amp;I315&amp;J315&amp;K315&amp;L315&amp;M315&amp;N315&amp;O315,2)</f>
        <v>34</v>
      </c>
    </row>
    <row r="316" spans="1:21">
      <c r="G316" s="2">
        <v>2</v>
      </c>
      <c r="H316" s="3" t="s">
        <v>64</v>
      </c>
      <c r="I316" s="3" t="s">
        <v>64</v>
      </c>
      <c r="J316" s="3" t="s">
        <v>64</v>
      </c>
      <c r="K316" s="3" t="s">
        <v>64</v>
      </c>
      <c r="L316" s="3" t="s">
        <v>64</v>
      </c>
      <c r="M316" s="3" t="s">
        <v>64</v>
      </c>
      <c r="N316" s="3" t="s">
        <v>64</v>
      </c>
      <c r="O316" s="3" t="s">
        <v>64</v>
      </c>
      <c r="P316" s="9"/>
    </row>
    <row r="317" spans="1:21">
      <c r="P317" s="9"/>
    </row>
    <row r="318" spans="1:21">
      <c r="A318" s="2" t="s">
        <v>374</v>
      </c>
      <c r="B318" s="2" t="s">
        <v>375</v>
      </c>
      <c r="C318" s="2" t="s">
        <v>29</v>
      </c>
      <c r="E318" s="2" t="s">
        <v>31</v>
      </c>
      <c r="G318" s="2">
        <v>0</v>
      </c>
      <c r="H318" s="3">
        <v>0</v>
      </c>
      <c r="I318" s="3">
        <v>0</v>
      </c>
      <c r="J318" s="3" t="s">
        <v>32</v>
      </c>
      <c r="K318" s="3" t="s">
        <v>32</v>
      </c>
      <c r="L318" s="3" t="s">
        <v>32</v>
      </c>
      <c r="M318" s="3">
        <v>1</v>
      </c>
      <c r="N318" s="3">
        <v>0</v>
      </c>
      <c r="O318" s="30">
        <v>1</v>
      </c>
      <c r="P318" s="9"/>
      <c r="Q318" s="2">
        <v>1</v>
      </c>
      <c r="R318" s="2">
        <v>4</v>
      </c>
      <c r="S318" s="2" t="s">
        <v>123</v>
      </c>
      <c r="T318" s="2" t="s">
        <v>376</v>
      </c>
      <c r="U318" s="31" t="s">
        <v>377</v>
      </c>
    </row>
    <row r="319" spans="1:21">
      <c r="P319" s="9"/>
    </row>
    <row r="320" spans="1:21">
      <c r="A320" s="2" t="s">
        <v>374</v>
      </c>
      <c r="B320" s="2" t="s">
        <v>378</v>
      </c>
      <c r="C320" s="2" t="s">
        <v>50</v>
      </c>
      <c r="E320" s="2" t="s">
        <v>51</v>
      </c>
      <c r="G320" s="2">
        <v>0</v>
      </c>
      <c r="H320" s="3">
        <v>0</v>
      </c>
      <c r="I320" s="3">
        <v>0</v>
      </c>
      <c r="J320" s="11">
        <v>1</v>
      </c>
      <c r="K320" s="11">
        <v>1</v>
      </c>
      <c r="L320" s="11">
        <v>0</v>
      </c>
      <c r="M320" s="3">
        <v>1</v>
      </c>
      <c r="N320" s="3">
        <v>0</v>
      </c>
      <c r="O320" s="30">
        <v>1</v>
      </c>
      <c r="P320" s="9" t="str">
        <f>BIN2HEX(""&amp;H320&amp;I320&amp;J320&amp;K320&amp;L320&amp;M320&amp;N320&amp;O320,2)</f>
        <v>35</v>
      </c>
      <c r="Q320" s="2">
        <v>3</v>
      </c>
      <c r="R320" s="2" t="s">
        <v>368</v>
      </c>
      <c r="S320" s="2" t="s">
        <v>123</v>
      </c>
      <c r="T320" s="2" t="s">
        <v>379</v>
      </c>
      <c r="U320" s="12" t="s">
        <v>53</v>
      </c>
    </row>
    <row r="321" spans="1:21">
      <c r="P321" s="9"/>
    </row>
    <row r="322" spans="1:21">
      <c r="A322" s="2" t="s">
        <v>374</v>
      </c>
      <c r="B322" s="2" t="s">
        <v>380</v>
      </c>
      <c r="C322" s="2" t="s">
        <v>57</v>
      </c>
      <c r="E322" s="2" t="s">
        <v>45</v>
      </c>
      <c r="G322" s="2">
        <v>0</v>
      </c>
      <c r="H322" s="3">
        <v>1</v>
      </c>
      <c r="I322" s="3">
        <v>1</v>
      </c>
      <c r="J322" s="13">
        <v>0</v>
      </c>
      <c r="K322" s="3">
        <v>1</v>
      </c>
      <c r="L322" s="3">
        <v>1</v>
      </c>
      <c r="M322" s="3">
        <v>1</v>
      </c>
      <c r="N322" s="3">
        <v>0</v>
      </c>
      <c r="O322" s="3">
        <v>1</v>
      </c>
      <c r="P322" s="9" t="str">
        <f>BIN2HEX(""&amp;H322&amp;I322&amp;J322&amp;K322&amp;L322&amp;M322&amp;N322&amp;O322,2)</f>
        <v>DD</v>
      </c>
      <c r="Q322" s="2">
        <v>6</v>
      </c>
      <c r="R322" s="2" t="s">
        <v>252</v>
      </c>
      <c r="S322" s="2" t="s">
        <v>123</v>
      </c>
      <c r="T322" s="2" t="s">
        <v>381</v>
      </c>
      <c r="U322" s="14" t="s">
        <v>60</v>
      </c>
    </row>
    <row r="323" spans="1:21">
      <c r="G323" s="2">
        <v>1</v>
      </c>
      <c r="H323" s="3">
        <v>0</v>
      </c>
      <c r="I323" s="3">
        <v>0</v>
      </c>
      <c r="J323" s="3">
        <v>1</v>
      </c>
      <c r="K323" s="3">
        <v>1</v>
      </c>
      <c r="L323" s="3">
        <v>0</v>
      </c>
      <c r="M323" s="3">
        <v>1</v>
      </c>
      <c r="N323" s="3">
        <v>0</v>
      </c>
      <c r="O323" s="30">
        <v>1</v>
      </c>
      <c r="P323" s="9" t="str">
        <f>BIN2HEX(""&amp;H323&amp;I323&amp;J323&amp;K323&amp;L323&amp;M323&amp;N323&amp;O323,2)</f>
        <v>35</v>
      </c>
    </row>
    <row r="324" spans="1:21">
      <c r="G324" s="2">
        <v>2</v>
      </c>
      <c r="H324" s="3" t="s">
        <v>64</v>
      </c>
      <c r="I324" s="3" t="s">
        <v>64</v>
      </c>
      <c r="J324" s="3" t="s">
        <v>64</v>
      </c>
      <c r="K324" s="3" t="s">
        <v>64</v>
      </c>
      <c r="L324" s="3" t="s">
        <v>64</v>
      </c>
      <c r="M324" s="3" t="s">
        <v>64</v>
      </c>
      <c r="N324" s="3" t="s">
        <v>64</v>
      </c>
      <c r="O324" s="3" t="s">
        <v>64</v>
      </c>
      <c r="P324" s="9"/>
    </row>
    <row r="325" spans="1:21">
      <c r="P325" s="9"/>
    </row>
    <row r="326" spans="1:21">
      <c r="A326" s="2" t="s">
        <v>374</v>
      </c>
      <c r="B326" s="2" t="s">
        <v>382</v>
      </c>
      <c r="C326" s="2" t="s">
        <v>66</v>
      </c>
      <c r="E326" s="2" t="s">
        <v>45</v>
      </c>
      <c r="G326" s="2">
        <v>0</v>
      </c>
      <c r="H326" s="3">
        <v>1</v>
      </c>
      <c r="I326" s="3">
        <v>1</v>
      </c>
      <c r="J326" s="13">
        <v>1</v>
      </c>
      <c r="K326" s="3">
        <v>1</v>
      </c>
      <c r="L326" s="3">
        <v>1</v>
      </c>
      <c r="M326" s="3">
        <v>1</v>
      </c>
      <c r="N326" s="3">
        <v>0</v>
      </c>
      <c r="O326" s="3">
        <v>1</v>
      </c>
      <c r="P326" s="9" t="str">
        <f>BIN2HEX(""&amp;H326&amp;I326&amp;J326&amp;K326&amp;L326&amp;M326&amp;N326&amp;O326,2)</f>
        <v>FD</v>
      </c>
      <c r="Q326" s="2">
        <v>6</v>
      </c>
      <c r="R326" s="2" t="s">
        <v>252</v>
      </c>
      <c r="S326" s="2" t="s">
        <v>123</v>
      </c>
      <c r="T326" s="2" t="s">
        <v>383</v>
      </c>
    </row>
    <row r="327" spans="1:21">
      <c r="G327" s="2">
        <v>1</v>
      </c>
      <c r="H327" s="3">
        <v>0</v>
      </c>
      <c r="I327" s="3">
        <v>0</v>
      </c>
      <c r="J327" s="3">
        <v>1</v>
      </c>
      <c r="K327" s="3">
        <v>1</v>
      </c>
      <c r="L327" s="3">
        <v>0</v>
      </c>
      <c r="M327" s="3">
        <v>1</v>
      </c>
      <c r="N327" s="3">
        <v>0</v>
      </c>
      <c r="O327" s="30">
        <v>1</v>
      </c>
      <c r="P327" s="9" t="str">
        <f>BIN2HEX(""&amp;H327&amp;I327&amp;J327&amp;K327&amp;L327&amp;M327&amp;N327&amp;O327,2)</f>
        <v>35</v>
      </c>
    </row>
    <row r="328" spans="1:21">
      <c r="G328" s="2">
        <v>2</v>
      </c>
      <c r="H328" s="3" t="s">
        <v>64</v>
      </c>
      <c r="I328" s="3" t="s">
        <v>64</v>
      </c>
      <c r="J328" s="3" t="s">
        <v>64</v>
      </c>
      <c r="K328" s="3" t="s">
        <v>64</v>
      </c>
      <c r="L328" s="3" t="s">
        <v>64</v>
      </c>
      <c r="M328" s="3" t="s">
        <v>64</v>
      </c>
      <c r="N328" s="3" t="s">
        <v>64</v>
      </c>
      <c r="O328" s="3" t="s">
        <v>64</v>
      </c>
      <c r="P328" s="9"/>
    </row>
    <row r="329" spans="1:21">
      <c r="P329" s="9"/>
    </row>
    <row r="330" spans="1:21">
      <c r="A330" s="2" t="s">
        <v>384</v>
      </c>
      <c r="B330" s="2" t="s">
        <v>384</v>
      </c>
      <c r="G330" s="2">
        <v>0</v>
      </c>
      <c r="H330" s="3">
        <v>0</v>
      </c>
      <c r="I330" s="3">
        <v>0</v>
      </c>
      <c r="J330" s="3">
        <v>1</v>
      </c>
      <c r="K330" s="3">
        <v>0</v>
      </c>
      <c r="L330" s="3">
        <v>0</v>
      </c>
      <c r="M330" s="3">
        <v>1</v>
      </c>
      <c r="N330" s="3">
        <v>1</v>
      </c>
      <c r="O330" s="3">
        <v>1</v>
      </c>
      <c r="P330" s="9" t="str">
        <f>BIN2HEX(""&amp;H330&amp;I330&amp;J330&amp;K330&amp;L330&amp;M330&amp;N330&amp;O330,2)</f>
        <v>27</v>
      </c>
      <c r="Q330" s="2">
        <v>1</v>
      </c>
      <c r="R330" s="2">
        <v>4</v>
      </c>
      <c r="S330" s="2" t="s">
        <v>385</v>
      </c>
      <c r="T330" s="2" t="s">
        <v>386</v>
      </c>
    </row>
    <row r="331" spans="1:21">
      <c r="P331" s="9"/>
    </row>
    <row r="332" spans="1:21">
      <c r="A332" s="2" t="s">
        <v>387</v>
      </c>
      <c r="B332" s="2" t="s">
        <v>387</v>
      </c>
      <c r="G332" s="2">
        <v>0</v>
      </c>
      <c r="H332" s="3">
        <v>0</v>
      </c>
      <c r="I332" s="3">
        <v>0</v>
      </c>
      <c r="J332" s="3">
        <v>1</v>
      </c>
      <c r="K332" s="3">
        <v>0</v>
      </c>
      <c r="L332" s="3">
        <v>1</v>
      </c>
      <c r="M332" s="3">
        <v>1</v>
      </c>
      <c r="N332" s="3">
        <v>1</v>
      </c>
      <c r="O332" s="3">
        <v>1</v>
      </c>
      <c r="P332" s="9" t="str">
        <f>BIN2HEX(""&amp;H332&amp;I332&amp;J332&amp;K332&amp;L332&amp;M332&amp;N332&amp;O332,2)</f>
        <v>2F</v>
      </c>
      <c r="Q332" s="2">
        <v>1</v>
      </c>
      <c r="R332" s="2">
        <v>4</v>
      </c>
      <c r="S332" s="2" t="s">
        <v>388</v>
      </c>
      <c r="T332" s="2" t="s">
        <v>389</v>
      </c>
    </row>
    <row r="333" spans="1:21">
      <c r="P333" s="9"/>
    </row>
    <row r="334" spans="1:21">
      <c r="A334" s="2" t="s">
        <v>390</v>
      </c>
      <c r="B334" s="2" t="s">
        <v>390</v>
      </c>
      <c r="G334" s="2">
        <v>0</v>
      </c>
      <c r="H334" s="3">
        <v>1</v>
      </c>
      <c r="I334" s="3">
        <v>1</v>
      </c>
      <c r="J334" s="3">
        <v>1</v>
      </c>
      <c r="K334" s="3">
        <v>0</v>
      </c>
      <c r="L334" s="3">
        <v>1</v>
      </c>
      <c r="M334" s="3">
        <v>1</v>
      </c>
      <c r="N334" s="3">
        <v>0</v>
      </c>
      <c r="O334" s="3">
        <v>1</v>
      </c>
      <c r="P334" s="9" t="str">
        <f>BIN2HEX(""&amp;H334&amp;I334&amp;J334&amp;K334&amp;L334&amp;M334&amp;N334&amp;O334,2)</f>
        <v>ED</v>
      </c>
      <c r="Q334" s="2">
        <v>2</v>
      </c>
      <c r="R334" s="2" t="s">
        <v>391</v>
      </c>
      <c r="S334" s="2" t="s">
        <v>277</v>
      </c>
      <c r="T334" s="2" t="s">
        <v>392</v>
      </c>
    </row>
    <row r="335" spans="1:21">
      <c r="G335" s="2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1</v>
      </c>
      <c r="N335" s="3">
        <v>0</v>
      </c>
      <c r="O335" s="3">
        <v>0</v>
      </c>
      <c r="P335" s="9" t="str">
        <f>BIN2HEX(""&amp;H335&amp;I335&amp;J335&amp;K335&amp;L335&amp;M335&amp;N335&amp;O335,2)</f>
        <v>44</v>
      </c>
    </row>
    <row r="336" spans="1:21">
      <c r="P336" s="9"/>
    </row>
    <row r="337" spans="1:26" ht="57">
      <c r="A337" s="2" t="s">
        <v>393</v>
      </c>
      <c r="B337" s="2" t="s">
        <v>393</v>
      </c>
      <c r="G337" s="2">
        <v>0</v>
      </c>
      <c r="H337" s="3">
        <v>0</v>
      </c>
      <c r="I337" s="3">
        <v>0</v>
      </c>
      <c r="J337" s="3">
        <v>1</v>
      </c>
      <c r="K337" s="3">
        <v>1</v>
      </c>
      <c r="L337" s="3">
        <v>1</v>
      </c>
      <c r="M337" s="3">
        <v>1</v>
      </c>
      <c r="N337" s="3">
        <v>1</v>
      </c>
      <c r="O337" s="3">
        <v>1</v>
      </c>
      <c r="P337" s="9" t="str">
        <f>BIN2HEX(""&amp;H337&amp;I337&amp;J337&amp;K337&amp;L337&amp;M337&amp;N337&amp;O337,2)</f>
        <v>3F</v>
      </c>
      <c r="Q337" s="2">
        <v>1</v>
      </c>
      <c r="R337" s="2">
        <v>4</v>
      </c>
      <c r="S337" s="2" t="s">
        <v>394</v>
      </c>
      <c r="T337" s="2" t="s">
        <v>395</v>
      </c>
      <c r="V337" s="4" t="s">
        <v>35</v>
      </c>
      <c r="W337" s="4" t="s">
        <v>36</v>
      </c>
      <c r="X337" s="4" t="s">
        <v>37</v>
      </c>
      <c r="Y337" s="4" t="s">
        <v>779</v>
      </c>
      <c r="Z337" s="4" t="s">
        <v>46</v>
      </c>
    </row>
    <row r="338" spans="1:26">
      <c r="P338" s="9"/>
    </row>
    <row r="339" spans="1:26" ht="57">
      <c r="A339" s="2" t="s">
        <v>396</v>
      </c>
      <c r="B339" s="2" t="s">
        <v>396</v>
      </c>
      <c r="G339" s="2">
        <v>0</v>
      </c>
      <c r="H339" s="3">
        <v>0</v>
      </c>
      <c r="I339" s="3">
        <v>0</v>
      </c>
      <c r="J339" s="3">
        <v>1</v>
      </c>
      <c r="K339" s="3">
        <v>1</v>
      </c>
      <c r="L339" s="3">
        <v>0</v>
      </c>
      <c r="M339" s="3">
        <v>1</v>
      </c>
      <c r="N339" s="3">
        <v>1</v>
      </c>
      <c r="O339" s="3">
        <v>1</v>
      </c>
      <c r="P339" s="9" t="str">
        <f>BIN2HEX(""&amp;H339&amp;I339&amp;J339&amp;K339&amp;L339&amp;M339&amp;N339&amp;O339,2)</f>
        <v>37</v>
      </c>
      <c r="Q339" s="2">
        <v>1</v>
      </c>
      <c r="R339" s="2">
        <v>4</v>
      </c>
      <c r="S339" s="2" t="s">
        <v>394</v>
      </c>
      <c r="T339" s="2" t="s">
        <v>397</v>
      </c>
      <c r="V339" s="4" t="s">
        <v>35</v>
      </c>
      <c r="W339" s="4" t="s">
        <v>36</v>
      </c>
      <c r="X339" s="4" t="s">
        <v>37</v>
      </c>
      <c r="Y339" s="4" t="s">
        <v>777</v>
      </c>
      <c r="Z339" s="4" t="s">
        <v>46</v>
      </c>
    </row>
    <row r="340" spans="1:26">
      <c r="P340" s="9"/>
    </row>
    <row r="341" spans="1:26" ht="57">
      <c r="A341" s="2" t="s">
        <v>398</v>
      </c>
      <c r="B341" s="2" t="s">
        <v>398</v>
      </c>
      <c r="G341" s="2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9" t="str">
        <f>BIN2HEX(""&amp;H341&amp;I341&amp;J341&amp;K341&amp;L341&amp;M341&amp;N341&amp;O341,2)</f>
        <v>00</v>
      </c>
      <c r="Q341" s="2">
        <v>1</v>
      </c>
      <c r="R341" s="2">
        <v>4</v>
      </c>
      <c r="T341" s="2" t="s">
        <v>399</v>
      </c>
      <c r="V341" s="4" t="s">
        <v>35</v>
      </c>
      <c r="W341" s="4" t="s">
        <v>36</v>
      </c>
      <c r="X341" s="4" t="s">
        <v>37</v>
      </c>
      <c r="Y341" s="4" t="s">
        <v>730</v>
      </c>
    </row>
    <row r="342" spans="1:26">
      <c r="P342" s="9"/>
    </row>
    <row r="343" spans="1:26">
      <c r="A343" s="2" t="s">
        <v>400</v>
      </c>
      <c r="B343" s="2" t="s">
        <v>400</v>
      </c>
      <c r="G343" s="2">
        <v>0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1</v>
      </c>
      <c r="N343" s="3">
        <v>1</v>
      </c>
      <c r="O343" s="3">
        <v>0</v>
      </c>
      <c r="P343" s="9" t="str">
        <f>BIN2HEX(""&amp;H343&amp;I343&amp;J343&amp;K343&amp;L343&amp;M343&amp;N343&amp;O343,2)</f>
        <v>76</v>
      </c>
      <c r="Q343" s="2">
        <v>1</v>
      </c>
      <c r="R343" s="2">
        <v>4</v>
      </c>
      <c r="T343" s="2" t="s">
        <v>401</v>
      </c>
    </row>
    <row r="344" spans="1:26">
      <c r="P344" s="9"/>
    </row>
    <row r="345" spans="1:26">
      <c r="A345" s="2" t="s">
        <v>402</v>
      </c>
      <c r="B345" s="2" t="s">
        <v>402</v>
      </c>
      <c r="G345" s="2">
        <v>0</v>
      </c>
      <c r="H345" s="3">
        <v>1</v>
      </c>
      <c r="I345" s="3">
        <v>1</v>
      </c>
      <c r="J345" s="3">
        <v>1</v>
      </c>
      <c r="K345" s="3">
        <v>1</v>
      </c>
      <c r="L345" s="20">
        <v>0</v>
      </c>
      <c r="M345" s="3">
        <v>0</v>
      </c>
      <c r="N345" s="3">
        <v>1</v>
      </c>
      <c r="O345" s="3">
        <v>1</v>
      </c>
      <c r="P345" s="9" t="str">
        <f>BIN2HEX(""&amp;H345&amp;I345&amp;J345&amp;K345&amp;L345&amp;M345&amp;N345&amp;O345,2)</f>
        <v>F3</v>
      </c>
      <c r="Q345" s="2">
        <v>1</v>
      </c>
      <c r="R345" s="2">
        <v>4</v>
      </c>
      <c r="T345" s="2" t="s">
        <v>403</v>
      </c>
    </row>
    <row r="346" spans="1:26">
      <c r="P346" s="9"/>
    </row>
    <row r="347" spans="1:26">
      <c r="A347" s="2" t="s">
        <v>404</v>
      </c>
      <c r="B347" s="2" t="s">
        <v>404</v>
      </c>
      <c r="G347" s="2">
        <v>0</v>
      </c>
      <c r="H347" s="3">
        <v>1</v>
      </c>
      <c r="I347" s="3">
        <v>1</v>
      </c>
      <c r="J347" s="3">
        <v>1</v>
      </c>
      <c r="K347" s="3">
        <v>1</v>
      </c>
      <c r="L347" s="20">
        <v>1</v>
      </c>
      <c r="M347" s="3">
        <v>0</v>
      </c>
      <c r="N347" s="3">
        <v>1</v>
      </c>
      <c r="O347" s="3">
        <v>1</v>
      </c>
      <c r="P347" s="9" t="str">
        <f>BIN2HEX(""&amp;H347&amp;I347&amp;J347&amp;K347&amp;L347&amp;M347&amp;N347&amp;O347,2)</f>
        <v>FB</v>
      </c>
      <c r="Q347" s="2">
        <v>1</v>
      </c>
      <c r="R347" s="2">
        <v>4</v>
      </c>
      <c r="T347" s="2" t="s">
        <v>405</v>
      </c>
    </row>
    <row r="348" spans="1:26">
      <c r="C348" s="32"/>
      <c r="P348" s="9"/>
    </row>
    <row r="349" spans="1:26">
      <c r="A349" s="2" t="s">
        <v>406</v>
      </c>
      <c r="B349" s="2" t="s">
        <v>407</v>
      </c>
      <c r="C349" s="32" t="s">
        <v>408</v>
      </c>
      <c r="G349" s="2">
        <v>0</v>
      </c>
      <c r="H349" s="3">
        <v>1</v>
      </c>
      <c r="I349" s="3">
        <v>1</v>
      </c>
      <c r="J349" s="3">
        <v>1</v>
      </c>
      <c r="K349" s="3">
        <v>0</v>
      </c>
      <c r="L349" s="3">
        <v>1</v>
      </c>
      <c r="M349" s="3">
        <v>1</v>
      </c>
      <c r="N349" s="3">
        <v>0</v>
      </c>
      <c r="O349" s="3">
        <v>1</v>
      </c>
      <c r="P349" s="9" t="str">
        <f>BIN2HEX(""&amp;H349&amp;I349&amp;J349&amp;K349&amp;L349&amp;M349&amp;N349&amp;O349,2)</f>
        <v>ED</v>
      </c>
      <c r="Q349" s="2">
        <v>2</v>
      </c>
      <c r="R349" s="2" t="s">
        <v>391</v>
      </c>
      <c r="T349" s="2" t="s">
        <v>409</v>
      </c>
    </row>
    <row r="350" spans="1:26">
      <c r="G350" s="2">
        <v>1</v>
      </c>
      <c r="H350" s="3">
        <v>0</v>
      </c>
      <c r="I350" s="3">
        <v>1</v>
      </c>
      <c r="J350" s="3">
        <v>0</v>
      </c>
      <c r="K350" s="20">
        <v>0</v>
      </c>
      <c r="L350" s="3">
        <v>0</v>
      </c>
      <c r="M350" s="3">
        <v>1</v>
      </c>
      <c r="N350" s="3">
        <v>1</v>
      </c>
      <c r="O350" s="3">
        <v>0</v>
      </c>
      <c r="P350" s="9" t="str">
        <f>BIN2HEX(""&amp;H350&amp;I350&amp;J350&amp;K350&amp;L350&amp;M350&amp;N350&amp;O350,2)</f>
        <v>46</v>
      </c>
    </row>
    <row r="351" spans="1:26">
      <c r="C351" s="32"/>
      <c r="P351" s="9"/>
    </row>
    <row r="352" spans="1:26">
      <c r="A352" s="2" t="s">
        <v>406</v>
      </c>
      <c r="B352" s="2" t="s">
        <v>410</v>
      </c>
      <c r="C352" s="32" t="s">
        <v>411</v>
      </c>
      <c r="G352" s="2">
        <v>0</v>
      </c>
      <c r="H352" s="3">
        <v>1</v>
      </c>
      <c r="I352" s="3">
        <v>1</v>
      </c>
      <c r="J352" s="3">
        <v>1</v>
      </c>
      <c r="K352" s="3">
        <v>0</v>
      </c>
      <c r="L352" s="3">
        <v>1</v>
      </c>
      <c r="M352" s="3">
        <v>1</v>
      </c>
      <c r="N352" s="3">
        <v>0</v>
      </c>
      <c r="O352" s="3">
        <v>1</v>
      </c>
      <c r="P352" s="9" t="str">
        <f>BIN2HEX(""&amp;H352&amp;I352&amp;J352&amp;K352&amp;L352&amp;M352&amp;N352&amp;O352,2)</f>
        <v>ED</v>
      </c>
      <c r="Q352" s="2">
        <v>2</v>
      </c>
      <c r="R352" s="2" t="s">
        <v>391</v>
      </c>
      <c r="T352" s="2" t="s">
        <v>412</v>
      </c>
    </row>
    <row r="353" spans="1:20">
      <c r="G353" s="2">
        <v>1</v>
      </c>
      <c r="H353" s="3">
        <v>0</v>
      </c>
      <c r="I353" s="3">
        <v>1</v>
      </c>
      <c r="J353" s="3">
        <v>0</v>
      </c>
      <c r="K353" s="20">
        <v>1</v>
      </c>
      <c r="L353" s="3">
        <v>0</v>
      </c>
      <c r="M353" s="3">
        <v>1</v>
      </c>
      <c r="N353" s="3">
        <v>1</v>
      </c>
      <c r="O353" s="3">
        <v>0</v>
      </c>
      <c r="P353" s="9" t="str">
        <f>BIN2HEX(""&amp;H353&amp;I353&amp;J353&amp;K353&amp;L353&amp;M353&amp;N353&amp;O353,2)</f>
        <v>56</v>
      </c>
    </row>
    <row r="354" spans="1:20">
      <c r="C354" s="32"/>
      <c r="P354" s="9"/>
    </row>
    <row r="355" spans="1:20">
      <c r="A355" s="2" t="s">
        <v>406</v>
      </c>
      <c r="B355" s="2" t="s">
        <v>413</v>
      </c>
      <c r="C355" s="32" t="s">
        <v>414</v>
      </c>
      <c r="G355" s="2">
        <v>0</v>
      </c>
      <c r="H355" s="3">
        <v>1</v>
      </c>
      <c r="I355" s="3">
        <v>1</v>
      </c>
      <c r="J355" s="3">
        <v>1</v>
      </c>
      <c r="K355" s="3">
        <v>0</v>
      </c>
      <c r="L355" s="3">
        <v>1</v>
      </c>
      <c r="M355" s="3">
        <v>1</v>
      </c>
      <c r="N355" s="3">
        <v>0</v>
      </c>
      <c r="O355" s="3">
        <v>1</v>
      </c>
      <c r="P355" s="9" t="str">
        <f>BIN2HEX(""&amp;H355&amp;I355&amp;J355&amp;K355&amp;L355&amp;M355&amp;N355&amp;O355,2)</f>
        <v>ED</v>
      </c>
      <c r="Q355" s="2">
        <v>2</v>
      </c>
      <c r="R355" s="2" t="s">
        <v>391</v>
      </c>
      <c r="T355" s="2" t="s">
        <v>415</v>
      </c>
    </row>
    <row r="356" spans="1:20">
      <c r="G356" s="2">
        <v>1</v>
      </c>
      <c r="H356" s="3">
        <v>0</v>
      </c>
      <c r="I356" s="3">
        <v>1</v>
      </c>
      <c r="J356" s="3">
        <v>0</v>
      </c>
      <c r="K356" s="20">
        <v>1</v>
      </c>
      <c r="L356" s="20">
        <v>1</v>
      </c>
      <c r="M356" s="3">
        <v>1</v>
      </c>
      <c r="N356" s="3">
        <v>1</v>
      </c>
      <c r="O356" s="3">
        <v>0</v>
      </c>
      <c r="P356" s="9" t="str">
        <f>BIN2HEX(""&amp;H356&amp;I356&amp;J356&amp;K356&amp;L356&amp;M356&amp;N356&amp;O356,2)</f>
        <v>5E</v>
      </c>
    </row>
    <row r="357" spans="1:20">
      <c r="P357" s="9"/>
    </row>
    <row r="358" spans="1:20">
      <c r="A358" s="2" t="s">
        <v>275</v>
      </c>
      <c r="B358" s="2" t="s">
        <v>416</v>
      </c>
      <c r="C358" s="2" t="s">
        <v>155</v>
      </c>
      <c r="D358" s="2" t="s">
        <v>137</v>
      </c>
      <c r="E358" s="2" t="s">
        <v>31</v>
      </c>
      <c r="F358" s="2" t="s">
        <v>31</v>
      </c>
      <c r="G358" s="2">
        <v>0</v>
      </c>
      <c r="H358" s="3">
        <v>0</v>
      </c>
      <c r="I358" s="3">
        <v>0</v>
      </c>
      <c r="J358" s="3" t="s">
        <v>31</v>
      </c>
      <c r="K358" s="3" t="s">
        <v>31</v>
      </c>
      <c r="L358" s="3">
        <v>1</v>
      </c>
      <c r="M358" s="3">
        <v>0</v>
      </c>
      <c r="N358" s="3">
        <v>0</v>
      </c>
      <c r="O358" s="3">
        <v>1</v>
      </c>
      <c r="P358" s="9"/>
      <c r="Q358" s="2">
        <v>3</v>
      </c>
      <c r="R358" s="2" t="s">
        <v>368</v>
      </c>
      <c r="S358" s="2" t="s">
        <v>394</v>
      </c>
      <c r="T358" s="2" t="s">
        <v>417</v>
      </c>
    </row>
    <row r="359" spans="1:20">
      <c r="P359" s="9"/>
    </row>
    <row r="360" spans="1:20">
      <c r="A360" s="2" t="s">
        <v>292</v>
      </c>
      <c r="B360" s="2" t="s">
        <v>418</v>
      </c>
      <c r="C360" s="2" t="s">
        <v>155</v>
      </c>
      <c r="D360" s="2" t="s">
        <v>137</v>
      </c>
      <c r="E360" s="2" t="s">
        <v>31</v>
      </c>
      <c r="F360" s="2" t="s">
        <v>31</v>
      </c>
      <c r="G360" s="2">
        <v>0</v>
      </c>
      <c r="H360" s="3">
        <v>1</v>
      </c>
      <c r="I360" s="3">
        <v>1</v>
      </c>
      <c r="J360" s="3">
        <v>1</v>
      </c>
      <c r="K360" s="3">
        <v>0</v>
      </c>
      <c r="L360" s="3">
        <v>1</v>
      </c>
      <c r="M360" s="3">
        <v>1</v>
      </c>
      <c r="N360" s="3">
        <v>0</v>
      </c>
      <c r="O360" s="3">
        <v>1</v>
      </c>
      <c r="P360" s="9" t="str">
        <f>BIN2HEX(""&amp;H360&amp;I360&amp;J360&amp;K360&amp;L360&amp;M360&amp;N360&amp;O360,2)</f>
        <v>ED</v>
      </c>
      <c r="Q360" s="2">
        <v>3</v>
      </c>
      <c r="R360" s="2" t="s">
        <v>368</v>
      </c>
      <c r="S360" s="2" t="s">
        <v>277</v>
      </c>
      <c r="T360" s="2" t="s">
        <v>419</v>
      </c>
    </row>
    <row r="361" spans="1:20">
      <c r="G361" s="2">
        <v>1</v>
      </c>
      <c r="H361" s="3">
        <v>0</v>
      </c>
      <c r="I361" s="3">
        <v>1</v>
      </c>
      <c r="J361" s="3" t="s">
        <v>31</v>
      </c>
      <c r="K361" s="3" t="s">
        <v>31</v>
      </c>
      <c r="L361" s="3">
        <v>1</v>
      </c>
      <c r="M361" s="3">
        <v>0</v>
      </c>
      <c r="N361" s="3">
        <v>1</v>
      </c>
      <c r="O361" s="3">
        <v>0</v>
      </c>
      <c r="P361" s="9"/>
    </row>
    <row r="362" spans="1:20">
      <c r="P362" s="9"/>
    </row>
    <row r="363" spans="1:20">
      <c r="A363" s="2" t="s">
        <v>317</v>
      </c>
      <c r="B363" s="2" t="s">
        <v>420</v>
      </c>
      <c r="C363" s="2" t="s">
        <v>155</v>
      </c>
      <c r="D363" s="2" t="s">
        <v>137</v>
      </c>
      <c r="E363" s="2" t="s">
        <v>31</v>
      </c>
      <c r="F363" s="2" t="s">
        <v>31</v>
      </c>
      <c r="G363" s="2">
        <v>0</v>
      </c>
      <c r="H363" s="3">
        <v>1</v>
      </c>
      <c r="I363" s="3">
        <v>1</v>
      </c>
      <c r="J363" s="3">
        <v>1</v>
      </c>
      <c r="K363" s="3">
        <v>0</v>
      </c>
      <c r="L363" s="3">
        <v>1</v>
      </c>
      <c r="M363" s="3">
        <v>1</v>
      </c>
      <c r="N363" s="3">
        <v>0</v>
      </c>
      <c r="O363" s="3">
        <v>1</v>
      </c>
      <c r="P363" s="9" t="str">
        <f>BIN2HEX(""&amp;H363&amp;I363&amp;J363&amp;K363&amp;L363&amp;M363&amp;N363&amp;O363,2)</f>
        <v>ED</v>
      </c>
      <c r="Q363" s="2">
        <v>3</v>
      </c>
      <c r="R363" s="2" t="s">
        <v>368</v>
      </c>
      <c r="S363" s="2" t="s">
        <v>277</v>
      </c>
      <c r="T363" s="2" t="s">
        <v>421</v>
      </c>
    </row>
    <row r="364" spans="1:20">
      <c r="G364" s="2">
        <v>1</v>
      </c>
      <c r="H364" s="3">
        <v>0</v>
      </c>
      <c r="I364" s="3">
        <v>1</v>
      </c>
      <c r="J364" s="3" t="s">
        <v>31</v>
      </c>
      <c r="K364" s="3" t="s">
        <v>31</v>
      </c>
      <c r="L364" s="3">
        <v>0</v>
      </c>
      <c r="M364" s="3">
        <v>0</v>
      </c>
      <c r="N364" s="3">
        <v>1</v>
      </c>
      <c r="O364" s="3">
        <v>0</v>
      </c>
      <c r="P364" s="9"/>
    </row>
    <row r="365" spans="1:20">
      <c r="P365" s="9"/>
    </row>
    <row r="366" spans="1:20">
      <c r="A366" s="2" t="s">
        <v>275</v>
      </c>
      <c r="B366" s="2" t="s">
        <v>422</v>
      </c>
      <c r="C366" s="2" t="s">
        <v>144</v>
      </c>
      <c r="D366" s="2" t="s">
        <v>423</v>
      </c>
      <c r="E366" s="2" t="s">
        <v>31</v>
      </c>
      <c r="F366" s="2" t="s">
        <v>31</v>
      </c>
      <c r="G366" s="2">
        <v>0</v>
      </c>
      <c r="H366" s="3">
        <v>1</v>
      </c>
      <c r="I366" s="3">
        <v>1</v>
      </c>
      <c r="J366" s="3">
        <v>0</v>
      </c>
      <c r="K366" s="3">
        <v>1</v>
      </c>
      <c r="L366" s="3">
        <v>1</v>
      </c>
      <c r="M366" s="3">
        <v>1</v>
      </c>
      <c r="N366" s="3">
        <v>0</v>
      </c>
      <c r="O366" s="3">
        <v>1</v>
      </c>
      <c r="P366" s="9" t="str">
        <f>BIN2HEX(""&amp;H366&amp;I366&amp;J366&amp;K366&amp;L366&amp;M366&amp;N366&amp;O366,2)</f>
        <v>DD</v>
      </c>
      <c r="Q366" s="2">
        <v>4</v>
      </c>
      <c r="R366" s="2" t="s">
        <v>424</v>
      </c>
      <c r="S366" s="2" t="s">
        <v>394</v>
      </c>
      <c r="T366" s="2" t="s">
        <v>425</v>
      </c>
    </row>
    <row r="367" spans="1:20">
      <c r="G367" s="2">
        <v>1</v>
      </c>
      <c r="H367" s="3">
        <v>0</v>
      </c>
      <c r="I367" s="3">
        <v>0</v>
      </c>
      <c r="J367" s="3" t="s">
        <v>426</v>
      </c>
      <c r="K367" s="3" t="s">
        <v>426</v>
      </c>
      <c r="L367" s="3">
        <v>1</v>
      </c>
      <c r="M367" s="3">
        <v>0</v>
      </c>
      <c r="N367" s="3">
        <v>0</v>
      </c>
      <c r="O367" s="3">
        <v>1</v>
      </c>
      <c r="P367" s="9"/>
    </row>
    <row r="368" spans="1:20">
      <c r="P368" s="9"/>
    </row>
    <row r="369" spans="1:21">
      <c r="A369" s="2" t="s">
        <v>275</v>
      </c>
      <c r="B369" s="2" t="s">
        <v>427</v>
      </c>
      <c r="C369" s="2" t="s">
        <v>150</v>
      </c>
      <c r="D369" s="2" t="s">
        <v>428</v>
      </c>
      <c r="E369" s="2" t="s">
        <v>31</v>
      </c>
      <c r="F369" s="2" t="s">
        <v>31</v>
      </c>
      <c r="G369" s="2">
        <v>0</v>
      </c>
      <c r="H369" s="3">
        <v>1</v>
      </c>
      <c r="I369" s="3">
        <v>1</v>
      </c>
      <c r="J369" s="3">
        <v>1</v>
      </c>
      <c r="K369" s="3">
        <v>1</v>
      </c>
      <c r="L369" s="3">
        <v>1</v>
      </c>
      <c r="M369" s="3">
        <v>1</v>
      </c>
      <c r="N369" s="3">
        <v>0</v>
      </c>
      <c r="O369" s="3">
        <v>1</v>
      </c>
      <c r="P369" s="9" t="str">
        <f>BIN2HEX(""&amp;H369&amp;I369&amp;J369&amp;K369&amp;L369&amp;M369&amp;N369&amp;O369,2)</f>
        <v>FD</v>
      </c>
      <c r="Q369" s="2">
        <v>4</v>
      </c>
      <c r="R369" s="2" t="s">
        <v>424</v>
      </c>
      <c r="S369" s="2" t="s">
        <v>394</v>
      </c>
      <c r="T369" s="2" t="s">
        <v>429</v>
      </c>
    </row>
    <row r="370" spans="1:21">
      <c r="G370" s="2">
        <v>1</v>
      </c>
      <c r="H370" s="3">
        <v>0</v>
      </c>
      <c r="I370" s="3">
        <v>0</v>
      </c>
      <c r="J370" s="3" t="s">
        <v>430</v>
      </c>
      <c r="K370" s="3" t="s">
        <v>430</v>
      </c>
      <c r="L370" s="3">
        <v>1</v>
      </c>
      <c r="M370" s="3">
        <v>0</v>
      </c>
      <c r="N370" s="3">
        <v>0</v>
      </c>
      <c r="O370" s="3">
        <v>1</v>
      </c>
      <c r="P370" s="9"/>
    </row>
    <row r="371" spans="1:21">
      <c r="P371" s="9"/>
    </row>
    <row r="372" spans="1:21">
      <c r="A372" s="2" t="s">
        <v>364</v>
      </c>
      <c r="B372" s="2" t="s">
        <v>431</v>
      </c>
      <c r="C372" s="2" t="s">
        <v>137</v>
      </c>
      <c r="E372" s="2" t="s">
        <v>31</v>
      </c>
      <c r="G372" s="2">
        <v>0</v>
      </c>
      <c r="H372" s="3">
        <v>0</v>
      </c>
      <c r="I372" s="3">
        <v>0</v>
      </c>
      <c r="J372" s="3" t="s">
        <v>31</v>
      </c>
      <c r="K372" s="3" t="s">
        <v>31</v>
      </c>
      <c r="L372" s="3">
        <v>0</v>
      </c>
      <c r="M372" s="3">
        <v>0</v>
      </c>
      <c r="N372" s="3">
        <v>1</v>
      </c>
      <c r="O372" s="3">
        <v>1</v>
      </c>
      <c r="P372" s="9"/>
      <c r="Q372" s="2">
        <v>1</v>
      </c>
      <c r="R372" s="2">
        <v>6</v>
      </c>
      <c r="T372" s="2" t="s">
        <v>432</v>
      </c>
    </row>
    <row r="373" spans="1:21">
      <c r="P373" s="9"/>
    </row>
    <row r="374" spans="1:21">
      <c r="A374" s="2" t="s">
        <v>364</v>
      </c>
      <c r="B374" s="2" t="s">
        <v>433</v>
      </c>
      <c r="C374" s="2" t="s">
        <v>144</v>
      </c>
      <c r="E374" s="2" t="s">
        <v>31</v>
      </c>
      <c r="G374" s="2">
        <v>0</v>
      </c>
      <c r="H374" s="3">
        <v>1</v>
      </c>
      <c r="I374" s="3">
        <v>1</v>
      </c>
      <c r="J374" s="13">
        <v>0</v>
      </c>
      <c r="K374" s="3">
        <v>1</v>
      </c>
      <c r="L374" s="3">
        <v>1</v>
      </c>
      <c r="M374" s="3">
        <v>1</v>
      </c>
      <c r="N374" s="3">
        <v>0</v>
      </c>
      <c r="O374" s="3">
        <v>1</v>
      </c>
      <c r="P374" s="9" t="str">
        <f>BIN2HEX(""&amp;H374&amp;I374&amp;J374&amp;K374&amp;L374&amp;M374&amp;N374&amp;O374,2)</f>
        <v>DD</v>
      </c>
      <c r="Q374" s="2">
        <v>2</v>
      </c>
      <c r="R374" s="2" t="s">
        <v>195</v>
      </c>
      <c r="T374" s="2" t="s">
        <v>434</v>
      </c>
      <c r="U374" s="14" t="s">
        <v>60</v>
      </c>
    </row>
    <row r="375" spans="1:21">
      <c r="G375" s="2">
        <v>1</v>
      </c>
      <c r="H375" s="3">
        <v>0</v>
      </c>
      <c r="I375" s="3">
        <v>0</v>
      </c>
      <c r="J375" s="3">
        <v>1</v>
      </c>
      <c r="K375" s="3">
        <v>0</v>
      </c>
      <c r="L375" s="3">
        <v>0</v>
      </c>
      <c r="M375" s="3">
        <v>0</v>
      </c>
      <c r="N375" s="3">
        <v>1</v>
      </c>
      <c r="O375" s="3">
        <v>1</v>
      </c>
      <c r="P375" s="9" t="str">
        <f>BIN2HEX(""&amp;H375&amp;I375&amp;J375&amp;K375&amp;L375&amp;M375&amp;N375&amp;O375,2)</f>
        <v>23</v>
      </c>
    </row>
    <row r="376" spans="1:21">
      <c r="P376" s="9"/>
    </row>
    <row r="377" spans="1:21">
      <c r="A377" s="2" t="s">
        <v>364</v>
      </c>
      <c r="B377" s="2" t="s">
        <v>435</v>
      </c>
      <c r="C377" s="2" t="s">
        <v>150</v>
      </c>
      <c r="E377" s="2" t="s">
        <v>31</v>
      </c>
      <c r="G377" s="2">
        <v>0</v>
      </c>
      <c r="H377" s="3">
        <v>1</v>
      </c>
      <c r="I377" s="3">
        <v>1</v>
      </c>
      <c r="J377" s="13">
        <v>1</v>
      </c>
      <c r="K377" s="3">
        <v>1</v>
      </c>
      <c r="L377" s="3">
        <v>1</v>
      </c>
      <c r="M377" s="3">
        <v>1</v>
      </c>
      <c r="N377" s="3">
        <v>0</v>
      </c>
      <c r="O377" s="3">
        <v>1</v>
      </c>
      <c r="P377" s="9" t="str">
        <f>BIN2HEX(""&amp;H377&amp;I377&amp;J377&amp;K377&amp;L377&amp;M377&amp;N377&amp;O377,2)</f>
        <v>FD</v>
      </c>
      <c r="Q377" s="2">
        <v>2</v>
      </c>
      <c r="R377" s="2" t="s">
        <v>195</v>
      </c>
      <c r="T377" s="2" t="s">
        <v>436</v>
      </c>
    </row>
    <row r="378" spans="1:21">
      <c r="G378" s="2">
        <v>1</v>
      </c>
      <c r="H378" s="3">
        <v>0</v>
      </c>
      <c r="I378" s="3">
        <v>0</v>
      </c>
      <c r="J378" s="3">
        <v>1</v>
      </c>
      <c r="K378" s="3">
        <v>0</v>
      </c>
      <c r="L378" s="3">
        <v>0</v>
      </c>
      <c r="M378" s="3">
        <v>0</v>
      </c>
      <c r="N378" s="3">
        <v>1</v>
      </c>
      <c r="O378" s="3">
        <v>1</v>
      </c>
      <c r="P378" s="9" t="str">
        <f>BIN2HEX(""&amp;H378&amp;I378&amp;J378&amp;K378&amp;L378&amp;M378&amp;N378&amp;O378,2)</f>
        <v>23</v>
      </c>
    </row>
    <row r="379" spans="1:21">
      <c r="P379" s="9"/>
    </row>
    <row r="380" spans="1:21">
      <c r="A380" s="2" t="s">
        <v>374</v>
      </c>
      <c r="B380" s="2" t="s">
        <v>437</v>
      </c>
      <c r="C380" s="2" t="s">
        <v>137</v>
      </c>
      <c r="E380" s="2" t="s">
        <v>31</v>
      </c>
      <c r="G380" s="2">
        <v>0</v>
      </c>
      <c r="H380" s="3">
        <v>0</v>
      </c>
      <c r="I380" s="3">
        <v>0</v>
      </c>
      <c r="J380" s="3" t="s">
        <v>31</v>
      </c>
      <c r="K380" s="3" t="s">
        <v>31</v>
      </c>
      <c r="L380" s="30">
        <v>1</v>
      </c>
      <c r="M380" s="3">
        <v>0</v>
      </c>
      <c r="N380" s="3">
        <v>1</v>
      </c>
      <c r="O380" s="3">
        <v>1</v>
      </c>
      <c r="P380" s="9"/>
      <c r="Q380" s="2">
        <v>1</v>
      </c>
      <c r="R380" s="2">
        <v>6</v>
      </c>
      <c r="T380" s="2" t="s">
        <v>438</v>
      </c>
      <c r="U380" s="31" t="s">
        <v>377</v>
      </c>
    </row>
    <row r="381" spans="1:21">
      <c r="P381" s="9"/>
    </row>
    <row r="382" spans="1:21">
      <c r="A382" s="2" t="s">
        <v>374</v>
      </c>
      <c r="B382" s="2" t="s">
        <v>439</v>
      </c>
      <c r="C382" s="2" t="s">
        <v>144</v>
      </c>
      <c r="E382" s="2" t="s">
        <v>31</v>
      </c>
      <c r="G382" s="2">
        <v>0</v>
      </c>
      <c r="H382" s="3">
        <v>1</v>
      </c>
      <c r="I382" s="3">
        <v>1</v>
      </c>
      <c r="J382" s="13">
        <v>0</v>
      </c>
      <c r="K382" s="3">
        <v>1</v>
      </c>
      <c r="L382" s="3">
        <v>1</v>
      </c>
      <c r="M382" s="3">
        <v>1</v>
      </c>
      <c r="N382" s="3">
        <v>0</v>
      </c>
      <c r="O382" s="3">
        <v>1</v>
      </c>
      <c r="P382" s="9" t="str">
        <f>BIN2HEX(""&amp;H382&amp;I382&amp;J382&amp;K382&amp;L382&amp;M382&amp;N382&amp;O382,2)</f>
        <v>DD</v>
      </c>
      <c r="Q382" s="2">
        <v>2</v>
      </c>
      <c r="R382" s="2" t="s">
        <v>195</v>
      </c>
      <c r="T382" s="2" t="s">
        <v>440</v>
      </c>
      <c r="U382" s="14" t="s">
        <v>60</v>
      </c>
    </row>
    <row r="383" spans="1:21">
      <c r="G383" s="2">
        <v>1</v>
      </c>
      <c r="H383" s="3">
        <v>0</v>
      </c>
      <c r="I383" s="3">
        <v>0</v>
      </c>
      <c r="J383" s="3">
        <v>1</v>
      </c>
      <c r="K383" s="3">
        <v>0</v>
      </c>
      <c r="L383" s="30">
        <v>1</v>
      </c>
      <c r="M383" s="3">
        <v>0</v>
      </c>
      <c r="N383" s="3">
        <v>1</v>
      </c>
      <c r="O383" s="3">
        <v>1</v>
      </c>
      <c r="P383" s="9" t="str">
        <f>BIN2HEX(""&amp;H383&amp;I383&amp;J383&amp;K383&amp;L383&amp;M383&amp;N383&amp;O383,2)</f>
        <v>2B</v>
      </c>
    </row>
    <row r="384" spans="1:21">
      <c r="P384" s="9"/>
    </row>
    <row r="385" spans="1:21">
      <c r="A385" s="2" t="s">
        <v>374</v>
      </c>
      <c r="B385" s="2" t="s">
        <v>441</v>
      </c>
      <c r="C385" s="2" t="s">
        <v>150</v>
      </c>
      <c r="E385" s="2" t="s">
        <v>31</v>
      </c>
      <c r="G385" s="2">
        <v>0</v>
      </c>
      <c r="H385" s="3">
        <v>1</v>
      </c>
      <c r="I385" s="3">
        <v>1</v>
      </c>
      <c r="J385" s="13">
        <v>1</v>
      </c>
      <c r="K385" s="3">
        <v>1</v>
      </c>
      <c r="L385" s="3">
        <v>1</v>
      </c>
      <c r="M385" s="3">
        <v>1</v>
      </c>
      <c r="N385" s="3">
        <v>0</v>
      </c>
      <c r="O385" s="3">
        <v>1</v>
      </c>
      <c r="P385" s="9" t="str">
        <f>BIN2HEX(""&amp;H385&amp;I385&amp;J385&amp;K385&amp;L385&amp;M385&amp;N385&amp;O385,2)</f>
        <v>FD</v>
      </c>
      <c r="Q385" s="2">
        <v>2</v>
      </c>
      <c r="R385" s="2" t="s">
        <v>195</v>
      </c>
      <c r="T385" s="2" t="s">
        <v>442</v>
      </c>
    </row>
    <row r="386" spans="1:21">
      <c r="G386" s="2">
        <v>1</v>
      </c>
      <c r="H386" s="3">
        <v>0</v>
      </c>
      <c r="I386" s="3">
        <v>0</v>
      </c>
      <c r="J386" s="3">
        <v>1</v>
      </c>
      <c r="K386" s="3">
        <v>0</v>
      </c>
      <c r="L386" s="30">
        <v>1</v>
      </c>
      <c r="M386" s="3">
        <v>0</v>
      </c>
      <c r="N386" s="3">
        <v>1</v>
      </c>
      <c r="O386" s="3">
        <v>1</v>
      </c>
      <c r="P386" s="9" t="str">
        <f>BIN2HEX(""&amp;H386&amp;I386&amp;J386&amp;K386&amp;L386&amp;M386&amp;N386&amp;O386,2)</f>
        <v>2B</v>
      </c>
    </row>
    <row r="387" spans="1:21">
      <c r="P387" s="9"/>
    </row>
    <row r="388" spans="1:21">
      <c r="A388" s="2" t="s">
        <v>443</v>
      </c>
      <c r="B388" s="2" t="s">
        <v>443</v>
      </c>
      <c r="G388" s="2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1</v>
      </c>
      <c r="N388" s="3">
        <v>1</v>
      </c>
      <c r="O388" s="3">
        <v>1</v>
      </c>
      <c r="P388" s="9" t="str">
        <f>BIN2HEX(""&amp;H388&amp;I388&amp;J388&amp;K388&amp;L388&amp;M388&amp;N388&amp;O388,2)</f>
        <v>07</v>
      </c>
      <c r="Q388" s="2">
        <v>1</v>
      </c>
      <c r="R388" s="2">
        <v>4</v>
      </c>
      <c r="S388" s="2" t="s">
        <v>394</v>
      </c>
      <c r="T388" s="2" t="s">
        <v>444</v>
      </c>
    </row>
    <row r="389" spans="1:21">
      <c r="P389" s="9"/>
    </row>
    <row r="390" spans="1:21">
      <c r="A390" s="2" t="s">
        <v>445</v>
      </c>
      <c r="B390" s="2" t="s">
        <v>445</v>
      </c>
      <c r="G390" s="2">
        <v>0</v>
      </c>
      <c r="H390" s="3">
        <v>0</v>
      </c>
      <c r="I390" s="3">
        <v>0</v>
      </c>
      <c r="J390" s="3">
        <v>0</v>
      </c>
      <c r="K390" s="3">
        <v>1</v>
      </c>
      <c r="L390" s="3">
        <v>0</v>
      </c>
      <c r="M390" s="3">
        <v>1</v>
      </c>
      <c r="N390" s="3">
        <v>1</v>
      </c>
      <c r="O390" s="3">
        <v>1</v>
      </c>
      <c r="P390" s="9" t="str">
        <f>BIN2HEX(""&amp;H390&amp;I390&amp;J390&amp;K390&amp;L390&amp;M390&amp;N390&amp;O390,2)</f>
        <v>17</v>
      </c>
      <c r="Q390" s="2">
        <v>1</v>
      </c>
      <c r="R390" s="2">
        <v>4</v>
      </c>
      <c r="S390" s="2" t="s">
        <v>394</v>
      </c>
      <c r="T390" s="2" t="s">
        <v>446</v>
      </c>
    </row>
    <row r="391" spans="1:21">
      <c r="P391" s="9"/>
    </row>
    <row r="392" spans="1:21">
      <c r="A392" s="2" t="s">
        <v>447</v>
      </c>
      <c r="B392" s="2" t="s">
        <v>447</v>
      </c>
      <c r="G392" s="2">
        <v>0</v>
      </c>
      <c r="H392" s="3">
        <v>0</v>
      </c>
      <c r="I392" s="3">
        <v>0</v>
      </c>
      <c r="J392" s="3">
        <v>0</v>
      </c>
      <c r="K392" s="3">
        <v>0</v>
      </c>
      <c r="L392" s="20">
        <v>1</v>
      </c>
      <c r="M392" s="3">
        <v>1</v>
      </c>
      <c r="N392" s="3">
        <v>1</v>
      </c>
      <c r="O392" s="3">
        <v>1</v>
      </c>
      <c r="P392" s="9" t="str">
        <f>BIN2HEX(""&amp;H392&amp;I392&amp;J392&amp;K392&amp;L392&amp;M392&amp;N392&amp;O392,2)</f>
        <v>0F</v>
      </c>
      <c r="Q392" s="2">
        <v>1</v>
      </c>
      <c r="R392" s="2">
        <v>4</v>
      </c>
      <c r="S392" s="2" t="s">
        <v>394</v>
      </c>
      <c r="T392" s="2" t="s">
        <v>448</v>
      </c>
      <c r="U392" s="22" t="s">
        <v>449</v>
      </c>
    </row>
    <row r="393" spans="1:21">
      <c r="P393" s="9"/>
    </row>
    <row r="394" spans="1:21">
      <c r="A394" s="2" t="s">
        <v>450</v>
      </c>
      <c r="B394" s="2" t="s">
        <v>450</v>
      </c>
      <c r="G394" s="2">
        <v>0</v>
      </c>
      <c r="H394" s="3">
        <v>0</v>
      </c>
      <c r="I394" s="3">
        <v>0</v>
      </c>
      <c r="J394" s="3">
        <v>0</v>
      </c>
      <c r="K394" s="3">
        <v>1</v>
      </c>
      <c r="L394" s="3">
        <v>1</v>
      </c>
      <c r="M394" s="3">
        <v>1</v>
      </c>
      <c r="N394" s="3">
        <v>1</v>
      </c>
      <c r="O394" s="3">
        <v>1</v>
      </c>
      <c r="P394" s="9" t="str">
        <f>BIN2HEX(""&amp;H394&amp;I394&amp;J394&amp;K394&amp;L394&amp;M394&amp;N394&amp;O394,2)</f>
        <v>1F</v>
      </c>
      <c r="Q394" s="2">
        <v>1</v>
      </c>
      <c r="R394" s="2">
        <v>4</v>
      </c>
      <c r="S394" s="2" t="s">
        <v>394</v>
      </c>
      <c r="T394" s="2" t="s">
        <v>451</v>
      </c>
    </row>
    <row r="395" spans="1:21">
      <c r="P395" s="9"/>
    </row>
    <row r="396" spans="1:21">
      <c r="A396" s="2" t="s">
        <v>452</v>
      </c>
      <c r="B396" s="2" t="s">
        <v>453</v>
      </c>
      <c r="C396" s="2" t="s">
        <v>29</v>
      </c>
      <c r="E396" s="2" t="s">
        <v>31</v>
      </c>
      <c r="G396" s="2">
        <v>0</v>
      </c>
      <c r="H396" s="3">
        <v>1</v>
      </c>
      <c r="I396" s="3">
        <v>1</v>
      </c>
      <c r="J396" s="3">
        <v>0</v>
      </c>
      <c r="K396" s="3">
        <v>0</v>
      </c>
      <c r="L396" s="3">
        <v>1</v>
      </c>
      <c r="M396" s="3">
        <v>0</v>
      </c>
      <c r="N396" s="3">
        <v>1</v>
      </c>
      <c r="O396" s="3">
        <v>1</v>
      </c>
      <c r="P396" s="9" t="str">
        <f>BIN2HEX(""&amp;H396&amp;I396&amp;J396&amp;K396&amp;L396&amp;M396&amp;N396&amp;O396,2)</f>
        <v>CB</v>
      </c>
      <c r="Q396" s="2">
        <v>2</v>
      </c>
      <c r="R396" s="2" t="s">
        <v>391</v>
      </c>
      <c r="S396" s="2" t="s">
        <v>277</v>
      </c>
      <c r="T396" s="2" t="s">
        <v>454</v>
      </c>
    </row>
    <row r="397" spans="1:21">
      <c r="G397" s="2">
        <v>1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 t="s">
        <v>32</v>
      </c>
      <c r="N397" s="3" t="s">
        <v>32</v>
      </c>
      <c r="O397" s="3" t="s">
        <v>32</v>
      </c>
      <c r="P397" s="9"/>
    </row>
    <row r="398" spans="1:21">
      <c r="P398" s="9"/>
    </row>
    <row r="399" spans="1:21">
      <c r="A399" s="2" t="s">
        <v>452</v>
      </c>
      <c r="B399" s="2" t="s">
        <v>455</v>
      </c>
      <c r="C399" s="2" t="s">
        <v>50</v>
      </c>
      <c r="E399" s="2" t="s">
        <v>51</v>
      </c>
      <c r="G399" s="2">
        <v>0</v>
      </c>
      <c r="H399" s="3">
        <v>1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>
        <v>1</v>
      </c>
      <c r="O399" s="3">
        <v>1</v>
      </c>
      <c r="P399" s="9" t="str">
        <f>BIN2HEX(""&amp;H399&amp;I399&amp;J399&amp;K399&amp;L399&amp;M399&amp;N399&amp;O399,2)</f>
        <v>CB</v>
      </c>
      <c r="Q399" s="2">
        <v>4</v>
      </c>
      <c r="R399" s="2" t="s">
        <v>424</v>
      </c>
      <c r="S399" s="2" t="s">
        <v>277</v>
      </c>
      <c r="T399" s="2" t="s">
        <v>456</v>
      </c>
      <c r="U399" s="12" t="s">
        <v>53</v>
      </c>
    </row>
    <row r="400" spans="1:21">
      <c r="G400" s="2">
        <v>1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11">
        <v>1</v>
      </c>
      <c r="N400" s="11">
        <v>1</v>
      </c>
      <c r="O400" s="11">
        <v>0</v>
      </c>
      <c r="P400" s="9" t="str">
        <f>BIN2HEX(""&amp;H400&amp;I400&amp;J400&amp;K400&amp;L400&amp;M400&amp;N400&amp;O400,2)</f>
        <v>06</v>
      </c>
    </row>
    <row r="401" spans="1:21">
      <c r="P401" s="9"/>
    </row>
    <row r="402" spans="1:21">
      <c r="A402" s="2" t="s">
        <v>452</v>
      </c>
      <c r="B402" s="2" t="s">
        <v>457</v>
      </c>
      <c r="C402" s="2" t="s">
        <v>57</v>
      </c>
      <c r="E402" s="2" t="s">
        <v>45</v>
      </c>
      <c r="G402" s="2">
        <v>0</v>
      </c>
      <c r="H402" s="3">
        <v>1</v>
      </c>
      <c r="I402" s="3">
        <v>1</v>
      </c>
      <c r="J402" s="13">
        <v>0</v>
      </c>
      <c r="K402" s="3">
        <v>1</v>
      </c>
      <c r="L402" s="3">
        <v>1</v>
      </c>
      <c r="M402" s="3">
        <v>1</v>
      </c>
      <c r="N402" s="3">
        <v>0</v>
      </c>
      <c r="O402" s="3">
        <v>1</v>
      </c>
      <c r="P402" s="9" t="str">
        <f>BIN2HEX(""&amp;H402&amp;I402&amp;J402&amp;K402&amp;L402&amp;M402&amp;N402&amp;O402,2)</f>
        <v>DD</v>
      </c>
      <c r="Q402" s="2">
        <v>6</v>
      </c>
      <c r="R402" s="2" t="s">
        <v>458</v>
      </c>
      <c r="S402" s="2" t="s">
        <v>277</v>
      </c>
      <c r="T402" s="2" t="s">
        <v>459</v>
      </c>
      <c r="U402" s="14" t="s">
        <v>60</v>
      </c>
    </row>
    <row r="403" spans="1:21">
      <c r="G403" s="2">
        <v>1</v>
      </c>
      <c r="H403" s="3">
        <v>1</v>
      </c>
      <c r="I403" s="3">
        <v>1</v>
      </c>
      <c r="J403" s="3">
        <v>0</v>
      </c>
      <c r="K403" s="3">
        <v>0</v>
      </c>
      <c r="L403" s="3">
        <v>1</v>
      </c>
      <c r="M403" s="3">
        <v>0</v>
      </c>
      <c r="N403" s="3">
        <v>1</v>
      </c>
      <c r="O403" s="3">
        <v>1</v>
      </c>
      <c r="P403" s="9" t="str">
        <f>BIN2HEX(""&amp;H403&amp;I403&amp;J403&amp;K403&amp;L403&amp;M403&amp;N403&amp;O403,2)</f>
        <v>CB</v>
      </c>
    </row>
    <row r="404" spans="1:21">
      <c r="G404" s="2">
        <v>2</v>
      </c>
      <c r="H404" s="3" t="s">
        <v>64</v>
      </c>
      <c r="I404" s="3" t="s">
        <v>64</v>
      </c>
      <c r="J404" s="3" t="s">
        <v>64</v>
      </c>
      <c r="K404" s="3" t="s">
        <v>64</v>
      </c>
      <c r="L404" s="3" t="s">
        <v>64</v>
      </c>
      <c r="M404" s="3" t="s">
        <v>64</v>
      </c>
      <c r="N404" s="3" t="s">
        <v>64</v>
      </c>
      <c r="O404" s="3" t="s">
        <v>64</v>
      </c>
      <c r="P404" s="9"/>
    </row>
    <row r="405" spans="1:21">
      <c r="G405" s="2">
        <v>3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1</v>
      </c>
      <c r="N405" s="3">
        <v>1</v>
      </c>
      <c r="O405" s="3">
        <v>0</v>
      </c>
      <c r="P405" s="9" t="str">
        <f>BIN2HEX(""&amp;H405&amp;I405&amp;J405&amp;K405&amp;L405&amp;M405&amp;N405&amp;O405,2)</f>
        <v>06</v>
      </c>
    </row>
    <row r="406" spans="1:21">
      <c r="P406" s="9"/>
    </row>
    <row r="407" spans="1:21">
      <c r="A407" s="2" t="s">
        <v>452</v>
      </c>
      <c r="B407" s="2" t="s">
        <v>460</v>
      </c>
      <c r="C407" s="2" t="s">
        <v>66</v>
      </c>
      <c r="E407" s="2" t="s">
        <v>45</v>
      </c>
      <c r="G407" s="2">
        <v>0</v>
      </c>
      <c r="H407" s="3">
        <v>1</v>
      </c>
      <c r="I407" s="3">
        <v>1</v>
      </c>
      <c r="J407" s="13">
        <v>1</v>
      </c>
      <c r="K407" s="3">
        <v>1</v>
      </c>
      <c r="L407" s="3">
        <v>1</v>
      </c>
      <c r="M407" s="3">
        <v>1</v>
      </c>
      <c r="N407" s="3">
        <v>0</v>
      </c>
      <c r="O407" s="3">
        <v>1</v>
      </c>
      <c r="P407" s="9" t="str">
        <f>BIN2HEX(""&amp;H407&amp;I407&amp;J407&amp;K407&amp;L407&amp;M407&amp;N407&amp;O407,2)</f>
        <v>FD</v>
      </c>
      <c r="Q407" s="2">
        <v>6</v>
      </c>
      <c r="R407" s="2" t="s">
        <v>458</v>
      </c>
      <c r="S407" s="2" t="s">
        <v>277</v>
      </c>
      <c r="T407" s="2" t="s">
        <v>461</v>
      </c>
    </row>
    <row r="408" spans="1:21">
      <c r="G408" s="2">
        <v>1</v>
      </c>
      <c r="H408" s="3">
        <v>1</v>
      </c>
      <c r="I408" s="3">
        <v>1</v>
      </c>
      <c r="J408" s="3">
        <v>0</v>
      </c>
      <c r="K408" s="3">
        <v>0</v>
      </c>
      <c r="L408" s="3">
        <v>1</v>
      </c>
      <c r="M408" s="3">
        <v>0</v>
      </c>
      <c r="N408" s="3">
        <v>1</v>
      </c>
      <c r="O408" s="3">
        <v>1</v>
      </c>
      <c r="P408" s="9" t="str">
        <f>BIN2HEX(""&amp;H408&amp;I408&amp;J408&amp;K408&amp;L408&amp;M408&amp;N408&amp;O408,2)</f>
        <v>CB</v>
      </c>
    </row>
    <row r="409" spans="1:21">
      <c r="G409" s="2">
        <v>2</v>
      </c>
      <c r="H409" s="3" t="s">
        <v>64</v>
      </c>
      <c r="I409" s="3" t="s">
        <v>64</v>
      </c>
      <c r="J409" s="3" t="s">
        <v>64</v>
      </c>
      <c r="K409" s="3" t="s">
        <v>64</v>
      </c>
      <c r="L409" s="3" t="s">
        <v>64</v>
      </c>
      <c r="M409" s="3" t="s">
        <v>64</v>
      </c>
      <c r="N409" s="3" t="s">
        <v>64</v>
      </c>
      <c r="O409" s="3" t="s">
        <v>64</v>
      </c>
      <c r="P409" s="9"/>
    </row>
    <row r="410" spans="1:21">
      <c r="G410" s="2">
        <v>3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1</v>
      </c>
      <c r="N410" s="3">
        <v>1</v>
      </c>
      <c r="O410" s="3">
        <v>0</v>
      </c>
      <c r="P410" s="9" t="str">
        <f>BIN2HEX(""&amp;H410&amp;I410&amp;J410&amp;K410&amp;L410&amp;M410&amp;N410&amp;O410,2)</f>
        <v>06</v>
      </c>
    </row>
    <row r="411" spans="1:21">
      <c r="P411" s="9"/>
    </row>
    <row r="412" spans="1:21">
      <c r="A412" s="2" t="s">
        <v>462</v>
      </c>
      <c r="B412" s="2" t="s">
        <v>463</v>
      </c>
      <c r="C412" s="2" t="s">
        <v>29</v>
      </c>
      <c r="E412" s="2" t="s">
        <v>31</v>
      </c>
      <c r="G412" s="2">
        <v>0</v>
      </c>
      <c r="H412" s="3">
        <v>1</v>
      </c>
      <c r="I412" s="3">
        <v>1</v>
      </c>
      <c r="J412" s="3">
        <v>0</v>
      </c>
      <c r="K412" s="3">
        <v>0</v>
      </c>
      <c r="L412" s="3">
        <v>1</v>
      </c>
      <c r="M412" s="3">
        <v>0</v>
      </c>
      <c r="N412" s="3">
        <v>1</v>
      </c>
      <c r="O412" s="3">
        <v>1</v>
      </c>
      <c r="P412" s="9" t="str">
        <f>BIN2HEX(""&amp;H412&amp;I412&amp;J412&amp;K412&amp;L412&amp;M412&amp;N412&amp;O412,2)</f>
        <v>CB</v>
      </c>
      <c r="Q412" s="2">
        <v>2</v>
      </c>
      <c r="R412" s="2" t="s">
        <v>391</v>
      </c>
      <c r="S412" s="2" t="s">
        <v>277</v>
      </c>
      <c r="T412" s="2" t="s">
        <v>464</v>
      </c>
    </row>
    <row r="413" spans="1:21">
      <c r="G413" s="2">
        <v>1</v>
      </c>
      <c r="H413" s="3">
        <v>0</v>
      </c>
      <c r="I413" s="3">
        <v>0</v>
      </c>
      <c r="J413" s="3">
        <v>0</v>
      </c>
      <c r="K413" s="3">
        <v>1</v>
      </c>
      <c r="L413" s="3">
        <v>0</v>
      </c>
      <c r="M413" s="3" t="s">
        <v>32</v>
      </c>
      <c r="N413" s="3" t="s">
        <v>32</v>
      </c>
      <c r="O413" s="3" t="s">
        <v>32</v>
      </c>
      <c r="P413" s="9"/>
    </row>
    <row r="414" spans="1:21">
      <c r="P414" s="9"/>
    </row>
    <row r="415" spans="1:21">
      <c r="A415" s="2" t="s">
        <v>462</v>
      </c>
      <c r="B415" s="2" t="s">
        <v>465</v>
      </c>
      <c r="C415" s="2" t="s">
        <v>50</v>
      </c>
      <c r="E415" s="2" t="s">
        <v>51</v>
      </c>
      <c r="G415" s="2">
        <v>0</v>
      </c>
      <c r="H415" s="3">
        <v>1</v>
      </c>
      <c r="I415" s="3">
        <v>1</v>
      </c>
      <c r="J415" s="3">
        <v>0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9" t="str">
        <f>BIN2HEX(""&amp;H415&amp;I415&amp;J415&amp;K415&amp;L415&amp;M415&amp;N415&amp;O415,2)</f>
        <v>CB</v>
      </c>
      <c r="Q415" s="2">
        <v>4</v>
      </c>
      <c r="R415" s="2" t="s">
        <v>424</v>
      </c>
      <c r="S415" s="2" t="s">
        <v>277</v>
      </c>
      <c r="T415" s="2" t="s">
        <v>466</v>
      </c>
    </row>
    <row r="416" spans="1:21">
      <c r="G416" s="2">
        <v>1</v>
      </c>
      <c r="H416" s="3">
        <v>0</v>
      </c>
      <c r="I416" s="3">
        <v>0</v>
      </c>
      <c r="J416" s="3">
        <v>0</v>
      </c>
      <c r="K416" s="3">
        <v>1</v>
      </c>
      <c r="L416" s="3">
        <v>0</v>
      </c>
      <c r="M416" s="11">
        <v>1</v>
      </c>
      <c r="N416" s="11">
        <v>1</v>
      </c>
      <c r="O416" s="11">
        <v>0</v>
      </c>
      <c r="P416" s="9" t="str">
        <f>BIN2HEX(""&amp;H416&amp;I416&amp;J416&amp;K416&amp;L416&amp;M416&amp;N416&amp;O416,2)</f>
        <v>16</v>
      </c>
      <c r="U416" s="12" t="s">
        <v>53</v>
      </c>
    </row>
    <row r="417" spans="1:21">
      <c r="P417" s="9"/>
    </row>
    <row r="418" spans="1:21">
      <c r="A418" s="2" t="s">
        <v>462</v>
      </c>
      <c r="B418" s="2" t="s">
        <v>467</v>
      </c>
      <c r="C418" s="2" t="s">
        <v>57</v>
      </c>
      <c r="E418" s="2" t="s">
        <v>45</v>
      </c>
      <c r="G418" s="2">
        <v>0</v>
      </c>
      <c r="H418" s="3">
        <v>1</v>
      </c>
      <c r="I418" s="3">
        <v>1</v>
      </c>
      <c r="J418" s="13">
        <v>0</v>
      </c>
      <c r="K418" s="3">
        <v>1</v>
      </c>
      <c r="L418" s="3">
        <v>1</v>
      </c>
      <c r="M418" s="3">
        <v>1</v>
      </c>
      <c r="N418" s="3">
        <v>0</v>
      </c>
      <c r="O418" s="3">
        <v>1</v>
      </c>
      <c r="P418" s="9" t="str">
        <f>BIN2HEX(""&amp;H418&amp;I418&amp;J418&amp;K418&amp;L418&amp;M418&amp;N418&amp;O418,2)</f>
        <v>DD</v>
      </c>
      <c r="Q418" s="2">
        <v>6</v>
      </c>
      <c r="R418" s="2" t="s">
        <v>458</v>
      </c>
      <c r="S418" s="2" t="s">
        <v>277</v>
      </c>
      <c r="T418" s="2" t="s">
        <v>468</v>
      </c>
      <c r="U418" s="14" t="s">
        <v>60</v>
      </c>
    </row>
    <row r="419" spans="1:21">
      <c r="G419" s="2">
        <v>1</v>
      </c>
      <c r="H419" s="3">
        <v>1</v>
      </c>
      <c r="I419" s="3">
        <v>1</v>
      </c>
      <c r="J419" s="3">
        <v>0</v>
      </c>
      <c r="K419" s="3">
        <v>0</v>
      </c>
      <c r="L419" s="3">
        <v>1</v>
      </c>
      <c r="M419" s="3">
        <v>0</v>
      </c>
      <c r="N419" s="3">
        <v>1</v>
      </c>
      <c r="O419" s="3">
        <v>1</v>
      </c>
      <c r="P419" s="9" t="str">
        <f>BIN2HEX(""&amp;H419&amp;I419&amp;J419&amp;K419&amp;L419&amp;M419&amp;N419&amp;O419,2)</f>
        <v>CB</v>
      </c>
    </row>
    <row r="420" spans="1:21">
      <c r="G420" s="2">
        <v>2</v>
      </c>
      <c r="H420" s="3" t="s">
        <v>64</v>
      </c>
      <c r="I420" s="3" t="s">
        <v>64</v>
      </c>
      <c r="J420" s="3" t="s">
        <v>64</v>
      </c>
      <c r="K420" s="3" t="s">
        <v>64</v>
      </c>
      <c r="L420" s="3" t="s">
        <v>64</v>
      </c>
      <c r="M420" s="3" t="s">
        <v>64</v>
      </c>
      <c r="N420" s="3" t="s">
        <v>64</v>
      </c>
      <c r="O420" s="3" t="s">
        <v>64</v>
      </c>
      <c r="P420" s="9"/>
    </row>
    <row r="421" spans="1:21">
      <c r="G421" s="2">
        <v>3</v>
      </c>
      <c r="H421" s="3">
        <v>0</v>
      </c>
      <c r="I421" s="3">
        <v>0</v>
      </c>
      <c r="J421" s="3">
        <v>0</v>
      </c>
      <c r="K421" s="3">
        <v>1</v>
      </c>
      <c r="L421" s="3">
        <v>0</v>
      </c>
      <c r="M421" s="3">
        <v>1</v>
      </c>
      <c r="N421" s="3">
        <v>1</v>
      </c>
      <c r="O421" s="3">
        <v>0</v>
      </c>
      <c r="P421" s="9" t="str">
        <f>BIN2HEX(""&amp;H421&amp;I421&amp;J421&amp;K421&amp;L421&amp;M421&amp;N421&amp;O421,2)</f>
        <v>16</v>
      </c>
    </row>
    <row r="422" spans="1:21">
      <c r="P422" s="9"/>
    </row>
    <row r="423" spans="1:21">
      <c r="A423" s="2" t="s">
        <v>462</v>
      </c>
      <c r="B423" s="2" t="s">
        <v>469</v>
      </c>
      <c r="C423" s="2" t="s">
        <v>66</v>
      </c>
      <c r="E423" s="2" t="s">
        <v>45</v>
      </c>
      <c r="G423" s="2">
        <v>0</v>
      </c>
      <c r="H423" s="3">
        <v>1</v>
      </c>
      <c r="I423" s="3">
        <v>1</v>
      </c>
      <c r="J423" s="13">
        <v>1</v>
      </c>
      <c r="K423" s="3">
        <v>1</v>
      </c>
      <c r="L423" s="3">
        <v>1</v>
      </c>
      <c r="M423" s="3">
        <v>1</v>
      </c>
      <c r="N423" s="3">
        <v>0</v>
      </c>
      <c r="O423" s="3">
        <v>1</v>
      </c>
      <c r="P423" s="9" t="str">
        <f>BIN2HEX(""&amp;H423&amp;I423&amp;J423&amp;K423&amp;L423&amp;M423&amp;N423&amp;O423,2)</f>
        <v>FD</v>
      </c>
      <c r="Q423" s="2">
        <v>6</v>
      </c>
      <c r="R423" s="2" t="s">
        <v>458</v>
      </c>
      <c r="S423" s="2" t="s">
        <v>277</v>
      </c>
      <c r="T423" s="2" t="s">
        <v>470</v>
      </c>
    </row>
    <row r="424" spans="1:21">
      <c r="G424" s="2">
        <v>1</v>
      </c>
      <c r="H424" s="3">
        <v>1</v>
      </c>
      <c r="I424" s="3">
        <v>1</v>
      </c>
      <c r="J424" s="3">
        <v>0</v>
      </c>
      <c r="K424" s="3">
        <v>0</v>
      </c>
      <c r="L424" s="3">
        <v>1</v>
      </c>
      <c r="M424" s="3">
        <v>0</v>
      </c>
      <c r="N424" s="3">
        <v>1</v>
      </c>
      <c r="O424" s="3">
        <v>1</v>
      </c>
      <c r="P424" s="9" t="str">
        <f>BIN2HEX(""&amp;H424&amp;I424&amp;J424&amp;K424&amp;L424&amp;M424&amp;N424&amp;O424,2)</f>
        <v>CB</v>
      </c>
    </row>
    <row r="425" spans="1:21">
      <c r="G425" s="2">
        <v>2</v>
      </c>
      <c r="H425" s="3" t="s">
        <v>64</v>
      </c>
      <c r="I425" s="3" t="s">
        <v>64</v>
      </c>
      <c r="J425" s="3" t="s">
        <v>64</v>
      </c>
      <c r="K425" s="3" t="s">
        <v>64</v>
      </c>
      <c r="L425" s="3" t="s">
        <v>64</v>
      </c>
      <c r="M425" s="3" t="s">
        <v>64</v>
      </c>
      <c r="N425" s="3" t="s">
        <v>64</v>
      </c>
      <c r="O425" s="3" t="s">
        <v>64</v>
      </c>
      <c r="P425" s="9"/>
    </row>
    <row r="426" spans="1:21">
      <c r="G426" s="2">
        <v>3</v>
      </c>
      <c r="H426" s="3">
        <v>0</v>
      </c>
      <c r="I426" s="3">
        <v>0</v>
      </c>
      <c r="J426" s="3">
        <v>0</v>
      </c>
      <c r="K426" s="3">
        <v>1</v>
      </c>
      <c r="L426" s="3">
        <v>0</v>
      </c>
      <c r="M426" s="3">
        <v>1</v>
      </c>
      <c r="N426" s="3">
        <v>1</v>
      </c>
      <c r="O426" s="3">
        <v>0</v>
      </c>
      <c r="P426" s="9" t="str">
        <f>BIN2HEX(""&amp;H426&amp;I426&amp;J426&amp;K426&amp;L426&amp;M426&amp;N426&amp;O426,2)</f>
        <v>16</v>
      </c>
    </row>
    <row r="427" spans="1:21">
      <c r="P427" s="9"/>
    </row>
    <row r="428" spans="1:21">
      <c r="A428" s="2" t="s">
        <v>471</v>
      </c>
      <c r="B428" s="2" t="s">
        <v>472</v>
      </c>
      <c r="C428" s="2" t="s">
        <v>29</v>
      </c>
      <c r="E428" s="2" t="s">
        <v>31</v>
      </c>
      <c r="G428" s="2">
        <v>0</v>
      </c>
      <c r="H428" s="3">
        <v>1</v>
      </c>
      <c r="I428" s="3">
        <v>1</v>
      </c>
      <c r="J428" s="3">
        <v>0</v>
      </c>
      <c r="K428" s="3">
        <v>0</v>
      </c>
      <c r="L428" s="3">
        <v>1</v>
      </c>
      <c r="M428" s="3">
        <v>0</v>
      </c>
      <c r="N428" s="3">
        <v>1</v>
      </c>
      <c r="O428" s="3">
        <v>1</v>
      </c>
      <c r="P428" s="9" t="str">
        <f>BIN2HEX(""&amp;H428&amp;I428&amp;J428&amp;K428&amp;L428&amp;M428&amp;N428&amp;O428,2)</f>
        <v>CB</v>
      </c>
      <c r="Q428" s="2">
        <v>2</v>
      </c>
      <c r="R428" s="2" t="s">
        <v>391</v>
      </c>
      <c r="S428" s="2" t="s">
        <v>277</v>
      </c>
      <c r="T428" s="2" t="s">
        <v>473</v>
      </c>
      <c r="U428" s="29" t="s">
        <v>474</v>
      </c>
    </row>
    <row r="429" spans="1:21">
      <c r="G429" s="2">
        <v>1</v>
      </c>
      <c r="H429" s="3">
        <v>0</v>
      </c>
      <c r="I429" s="3">
        <v>0</v>
      </c>
      <c r="J429" s="3">
        <v>0</v>
      </c>
      <c r="K429" s="28">
        <v>0</v>
      </c>
      <c r="L429" s="28">
        <v>1</v>
      </c>
      <c r="M429" s="3" t="s">
        <v>32</v>
      </c>
      <c r="N429" s="3" t="s">
        <v>32</v>
      </c>
      <c r="O429" s="3" t="s">
        <v>32</v>
      </c>
      <c r="P429" s="9"/>
    </row>
    <row r="430" spans="1:21">
      <c r="P430" s="9"/>
    </row>
    <row r="431" spans="1:21">
      <c r="A431" s="2" t="s">
        <v>471</v>
      </c>
      <c r="B431" s="2" t="s">
        <v>475</v>
      </c>
      <c r="C431" s="2" t="s">
        <v>50</v>
      </c>
      <c r="E431" s="2" t="s">
        <v>51</v>
      </c>
      <c r="G431" s="2">
        <v>0</v>
      </c>
      <c r="H431" s="3">
        <v>1</v>
      </c>
      <c r="I431" s="3">
        <v>1</v>
      </c>
      <c r="J431" s="3">
        <v>0</v>
      </c>
      <c r="K431" s="3">
        <v>0</v>
      </c>
      <c r="L431" s="3">
        <v>1</v>
      </c>
      <c r="M431" s="3">
        <v>0</v>
      </c>
      <c r="N431" s="3">
        <v>1</v>
      </c>
      <c r="O431" s="3">
        <v>1</v>
      </c>
      <c r="P431" s="9" t="str">
        <f>BIN2HEX(""&amp;H431&amp;I431&amp;J431&amp;K431&amp;L431&amp;M431&amp;N431&amp;O431,2)</f>
        <v>CB</v>
      </c>
      <c r="Q431" s="2">
        <v>4</v>
      </c>
      <c r="R431" s="2" t="s">
        <v>424</v>
      </c>
      <c r="S431" s="2" t="s">
        <v>277</v>
      </c>
      <c r="T431" s="2" t="s">
        <v>476</v>
      </c>
    </row>
    <row r="432" spans="1:21">
      <c r="G432" s="2">
        <v>1</v>
      </c>
      <c r="H432" s="3">
        <v>0</v>
      </c>
      <c r="I432" s="3">
        <v>0</v>
      </c>
      <c r="J432" s="3">
        <v>0</v>
      </c>
      <c r="K432" s="28">
        <v>0</v>
      </c>
      <c r="L432" s="28">
        <v>1</v>
      </c>
      <c r="M432" s="11">
        <v>1</v>
      </c>
      <c r="N432" s="11">
        <v>1</v>
      </c>
      <c r="O432" s="11">
        <v>0</v>
      </c>
      <c r="P432" s="9" t="str">
        <f>BIN2HEX(""&amp;H432&amp;I432&amp;J432&amp;K432&amp;L432&amp;M432&amp;N432&amp;O432,2)</f>
        <v>0E</v>
      </c>
      <c r="U432" s="12" t="s">
        <v>53</v>
      </c>
    </row>
    <row r="433" spans="1:21">
      <c r="P433" s="9"/>
    </row>
    <row r="434" spans="1:21">
      <c r="A434" s="2" t="s">
        <v>471</v>
      </c>
      <c r="B434" s="2" t="s">
        <v>477</v>
      </c>
      <c r="C434" s="2" t="s">
        <v>57</v>
      </c>
      <c r="E434" s="2" t="s">
        <v>45</v>
      </c>
      <c r="G434" s="2">
        <v>0</v>
      </c>
      <c r="H434" s="3">
        <v>1</v>
      </c>
      <c r="I434" s="3">
        <v>1</v>
      </c>
      <c r="J434" s="13">
        <v>0</v>
      </c>
      <c r="K434" s="3">
        <v>1</v>
      </c>
      <c r="L434" s="3">
        <v>1</v>
      </c>
      <c r="M434" s="3">
        <v>1</v>
      </c>
      <c r="N434" s="3">
        <v>0</v>
      </c>
      <c r="O434" s="3">
        <v>1</v>
      </c>
      <c r="P434" s="9" t="str">
        <f>BIN2HEX(""&amp;H434&amp;I434&amp;J434&amp;K434&amp;L434&amp;M434&amp;N434&amp;O434,2)</f>
        <v>DD</v>
      </c>
      <c r="Q434" s="2">
        <v>6</v>
      </c>
      <c r="R434" s="2" t="s">
        <v>458</v>
      </c>
      <c r="S434" s="2" t="s">
        <v>277</v>
      </c>
      <c r="T434" s="2" t="s">
        <v>478</v>
      </c>
      <c r="U434" s="14" t="s">
        <v>60</v>
      </c>
    </row>
    <row r="435" spans="1:21">
      <c r="G435" s="2">
        <v>1</v>
      </c>
      <c r="H435" s="3">
        <v>1</v>
      </c>
      <c r="I435" s="3">
        <v>1</v>
      </c>
      <c r="J435" s="3">
        <v>0</v>
      </c>
      <c r="K435" s="3">
        <v>0</v>
      </c>
      <c r="L435" s="3">
        <v>1</v>
      </c>
      <c r="M435" s="3">
        <v>0</v>
      </c>
      <c r="N435" s="3">
        <v>1</v>
      </c>
      <c r="O435" s="3">
        <v>1</v>
      </c>
      <c r="P435" s="9" t="str">
        <f>BIN2HEX(""&amp;H435&amp;I435&amp;J435&amp;K435&amp;L435&amp;M435&amp;N435&amp;O435,2)</f>
        <v>CB</v>
      </c>
    </row>
    <row r="436" spans="1:21">
      <c r="G436" s="2">
        <v>2</v>
      </c>
      <c r="H436" s="3" t="s">
        <v>64</v>
      </c>
      <c r="I436" s="3" t="s">
        <v>64</v>
      </c>
      <c r="J436" s="3" t="s">
        <v>64</v>
      </c>
      <c r="K436" s="3" t="s">
        <v>64</v>
      </c>
      <c r="L436" s="3" t="s">
        <v>64</v>
      </c>
      <c r="M436" s="3" t="s">
        <v>64</v>
      </c>
      <c r="N436" s="3" t="s">
        <v>64</v>
      </c>
      <c r="O436" s="3" t="s">
        <v>64</v>
      </c>
      <c r="P436" s="9"/>
    </row>
    <row r="437" spans="1:21">
      <c r="G437" s="2">
        <v>3</v>
      </c>
      <c r="H437" s="3">
        <v>0</v>
      </c>
      <c r="I437" s="3">
        <v>0</v>
      </c>
      <c r="J437" s="3">
        <v>0</v>
      </c>
      <c r="K437" s="28">
        <v>0</v>
      </c>
      <c r="L437" s="28">
        <v>1</v>
      </c>
      <c r="M437" s="3">
        <v>1</v>
      </c>
      <c r="N437" s="3">
        <v>1</v>
      </c>
      <c r="O437" s="3">
        <v>0</v>
      </c>
      <c r="P437" s="9" t="str">
        <f>BIN2HEX(""&amp;H437&amp;I437&amp;J437&amp;K437&amp;L437&amp;M437&amp;N437&amp;O437,2)</f>
        <v>0E</v>
      </c>
    </row>
    <row r="438" spans="1:21">
      <c r="P438" s="9"/>
    </row>
    <row r="439" spans="1:21">
      <c r="A439" s="2" t="s">
        <v>471</v>
      </c>
      <c r="B439" s="2" t="s">
        <v>479</v>
      </c>
      <c r="C439" s="2" t="s">
        <v>66</v>
      </c>
      <c r="E439" s="2" t="s">
        <v>45</v>
      </c>
      <c r="G439" s="2">
        <v>0</v>
      </c>
      <c r="H439" s="3">
        <v>1</v>
      </c>
      <c r="I439" s="3">
        <v>1</v>
      </c>
      <c r="J439" s="13">
        <v>1</v>
      </c>
      <c r="K439" s="3">
        <v>1</v>
      </c>
      <c r="L439" s="3">
        <v>1</v>
      </c>
      <c r="M439" s="3">
        <v>1</v>
      </c>
      <c r="N439" s="3">
        <v>0</v>
      </c>
      <c r="O439" s="3">
        <v>1</v>
      </c>
      <c r="P439" s="9" t="str">
        <f>BIN2HEX(""&amp;H439&amp;I439&amp;J439&amp;K439&amp;L439&amp;M439&amp;N439&amp;O439,2)</f>
        <v>FD</v>
      </c>
      <c r="Q439" s="2">
        <v>6</v>
      </c>
      <c r="R439" s="2" t="s">
        <v>458</v>
      </c>
      <c r="S439" s="2" t="s">
        <v>277</v>
      </c>
      <c r="T439" s="2" t="s">
        <v>480</v>
      </c>
    </row>
    <row r="440" spans="1:21">
      <c r="G440" s="2">
        <v>1</v>
      </c>
      <c r="H440" s="3">
        <v>1</v>
      </c>
      <c r="I440" s="3">
        <v>1</v>
      </c>
      <c r="J440" s="3">
        <v>0</v>
      </c>
      <c r="K440" s="3">
        <v>0</v>
      </c>
      <c r="L440" s="3">
        <v>1</v>
      </c>
      <c r="M440" s="3">
        <v>0</v>
      </c>
      <c r="N440" s="3">
        <v>1</v>
      </c>
      <c r="O440" s="3">
        <v>1</v>
      </c>
      <c r="P440" s="9" t="str">
        <f>BIN2HEX(""&amp;H440&amp;I440&amp;J440&amp;K440&amp;L440&amp;M440&amp;N440&amp;O440,2)</f>
        <v>CB</v>
      </c>
    </row>
    <row r="441" spans="1:21">
      <c r="G441" s="2">
        <v>2</v>
      </c>
      <c r="H441" s="3" t="s">
        <v>64</v>
      </c>
      <c r="I441" s="3" t="s">
        <v>64</v>
      </c>
      <c r="J441" s="3" t="s">
        <v>64</v>
      </c>
      <c r="K441" s="3" t="s">
        <v>64</v>
      </c>
      <c r="L441" s="3" t="s">
        <v>64</v>
      </c>
      <c r="M441" s="3" t="s">
        <v>64</v>
      </c>
      <c r="N441" s="3" t="s">
        <v>64</v>
      </c>
      <c r="O441" s="3" t="s">
        <v>64</v>
      </c>
      <c r="P441" s="9"/>
    </row>
    <row r="442" spans="1:21">
      <c r="G442" s="2">
        <v>3</v>
      </c>
      <c r="H442" s="3">
        <v>0</v>
      </c>
      <c r="I442" s="3">
        <v>0</v>
      </c>
      <c r="J442" s="3">
        <v>0</v>
      </c>
      <c r="K442" s="28">
        <v>0</v>
      </c>
      <c r="L442" s="28">
        <v>1</v>
      </c>
      <c r="M442" s="3">
        <v>1</v>
      </c>
      <c r="N442" s="3">
        <v>1</v>
      </c>
      <c r="O442" s="3">
        <v>0</v>
      </c>
      <c r="P442" s="9" t="str">
        <f>BIN2HEX(""&amp;H442&amp;I442&amp;J442&amp;K442&amp;L442&amp;M442&amp;N442&amp;O442,2)</f>
        <v>0E</v>
      </c>
    </row>
    <row r="443" spans="1:21">
      <c r="P443" s="9"/>
    </row>
    <row r="444" spans="1:21">
      <c r="A444" s="2" t="s">
        <v>481</v>
      </c>
      <c r="B444" s="2" t="s">
        <v>482</v>
      </c>
      <c r="C444" s="2" t="s">
        <v>29</v>
      </c>
      <c r="E444" s="2" t="s">
        <v>31</v>
      </c>
      <c r="G444" s="2">
        <v>0</v>
      </c>
      <c r="H444" s="3">
        <v>1</v>
      </c>
      <c r="I444" s="3">
        <v>1</v>
      </c>
      <c r="J444" s="3">
        <v>0</v>
      </c>
      <c r="K444" s="3">
        <v>0</v>
      </c>
      <c r="L444" s="3">
        <v>1</v>
      </c>
      <c r="M444" s="3">
        <v>0</v>
      </c>
      <c r="N444" s="3">
        <v>1</v>
      </c>
      <c r="O444" s="3">
        <v>1</v>
      </c>
      <c r="P444" s="9" t="str">
        <f>BIN2HEX(""&amp;H444&amp;I444&amp;J444&amp;K444&amp;L444&amp;M444&amp;N444&amp;O444,2)</f>
        <v>CB</v>
      </c>
      <c r="Q444" s="2">
        <v>2</v>
      </c>
      <c r="R444" s="2" t="s">
        <v>391</v>
      </c>
      <c r="S444" s="2" t="s">
        <v>277</v>
      </c>
      <c r="T444" s="2" t="s">
        <v>473</v>
      </c>
      <c r="U444" s="29" t="s">
        <v>474</v>
      </c>
    </row>
    <row r="445" spans="1:21">
      <c r="G445" s="2">
        <v>1</v>
      </c>
      <c r="H445" s="3">
        <v>0</v>
      </c>
      <c r="I445" s="3">
        <v>0</v>
      </c>
      <c r="J445" s="3">
        <v>0</v>
      </c>
      <c r="K445" s="28">
        <v>1</v>
      </c>
      <c r="L445" s="28">
        <v>1</v>
      </c>
      <c r="M445" s="3" t="s">
        <v>32</v>
      </c>
      <c r="N445" s="3" t="s">
        <v>32</v>
      </c>
      <c r="O445" s="3" t="s">
        <v>32</v>
      </c>
      <c r="P445" s="9"/>
    </row>
    <row r="446" spans="1:21">
      <c r="P446" s="9"/>
    </row>
    <row r="447" spans="1:21">
      <c r="A447" s="2" t="s">
        <v>481</v>
      </c>
      <c r="B447" s="2" t="s">
        <v>483</v>
      </c>
      <c r="C447" s="2" t="s">
        <v>50</v>
      </c>
      <c r="E447" s="2" t="s">
        <v>51</v>
      </c>
      <c r="G447" s="2">
        <v>0</v>
      </c>
      <c r="H447" s="3">
        <v>1</v>
      </c>
      <c r="I447" s="3">
        <v>1</v>
      </c>
      <c r="J447" s="3">
        <v>0</v>
      </c>
      <c r="K447" s="3">
        <v>0</v>
      </c>
      <c r="L447" s="3">
        <v>1</v>
      </c>
      <c r="M447" s="3">
        <v>0</v>
      </c>
      <c r="N447" s="3">
        <v>1</v>
      </c>
      <c r="O447" s="3">
        <v>1</v>
      </c>
      <c r="P447" s="9" t="str">
        <f>BIN2HEX(""&amp;H447&amp;I447&amp;J447&amp;K447&amp;L447&amp;M447&amp;N447&amp;O447,2)</f>
        <v>CB</v>
      </c>
      <c r="Q447" s="2">
        <v>4</v>
      </c>
      <c r="R447" s="2" t="s">
        <v>424</v>
      </c>
      <c r="S447" s="2" t="s">
        <v>277</v>
      </c>
      <c r="T447" s="2" t="s">
        <v>476</v>
      </c>
    </row>
    <row r="448" spans="1:21">
      <c r="G448" s="2">
        <v>1</v>
      </c>
      <c r="H448" s="3">
        <v>0</v>
      </c>
      <c r="I448" s="3">
        <v>0</v>
      </c>
      <c r="J448" s="3">
        <v>0</v>
      </c>
      <c r="K448" s="28">
        <v>1</v>
      </c>
      <c r="L448" s="28">
        <v>1</v>
      </c>
      <c r="M448" s="11">
        <v>1</v>
      </c>
      <c r="N448" s="11">
        <v>1</v>
      </c>
      <c r="O448" s="11">
        <v>0</v>
      </c>
      <c r="P448" s="9" t="str">
        <f>BIN2HEX(""&amp;H448&amp;I448&amp;J448&amp;K448&amp;L448&amp;M448&amp;N448&amp;O448,2)</f>
        <v>1E</v>
      </c>
      <c r="U448" s="12" t="s">
        <v>53</v>
      </c>
    </row>
    <row r="449" spans="1:21">
      <c r="P449" s="9"/>
    </row>
    <row r="450" spans="1:21">
      <c r="A450" s="2" t="s">
        <v>481</v>
      </c>
      <c r="B450" s="2" t="s">
        <v>484</v>
      </c>
      <c r="C450" s="2" t="s">
        <v>57</v>
      </c>
      <c r="E450" s="2" t="s">
        <v>45</v>
      </c>
      <c r="G450" s="2">
        <v>0</v>
      </c>
      <c r="H450" s="3">
        <v>1</v>
      </c>
      <c r="I450" s="3">
        <v>1</v>
      </c>
      <c r="J450" s="13">
        <v>0</v>
      </c>
      <c r="K450" s="3">
        <v>1</v>
      </c>
      <c r="L450" s="3">
        <v>1</v>
      </c>
      <c r="M450" s="3">
        <v>1</v>
      </c>
      <c r="N450" s="3">
        <v>0</v>
      </c>
      <c r="O450" s="3">
        <v>1</v>
      </c>
      <c r="P450" s="9" t="str">
        <f>BIN2HEX(""&amp;H450&amp;I450&amp;J450&amp;K450&amp;L450&amp;M450&amp;N450&amp;O450,2)</f>
        <v>DD</v>
      </c>
      <c r="Q450" s="2">
        <v>6</v>
      </c>
      <c r="R450" s="2" t="s">
        <v>458</v>
      </c>
      <c r="S450" s="2" t="s">
        <v>277</v>
      </c>
      <c r="T450" s="2" t="s">
        <v>478</v>
      </c>
      <c r="U450" s="14" t="s">
        <v>60</v>
      </c>
    </row>
    <row r="451" spans="1:21">
      <c r="G451" s="2">
        <v>1</v>
      </c>
      <c r="H451" s="3">
        <v>1</v>
      </c>
      <c r="I451" s="3">
        <v>1</v>
      </c>
      <c r="J451" s="3">
        <v>0</v>
      </c>
      <c r="K451" s="3">
        <v>0</v>
      </c>
      <c r="L451" s="3">
        <v>1</v>
      </c>
      <c r="M451" s="3">
        <v>0</v>
      </c>
      <c r="N451" s="3">
        <v>1</v>
      </c>
      <c r="O451" s="3">
        <v>1</v>
      </c>
      <c r="P451" s="9" t="str">
        <f>BIN2HEX(""&amp;H451&amp;I451&amp;J451&amp;K451&amp;L451&amp;M451&amp;N451&amp;O451,2)</f>
        <v>CB</v>
      </c>
    </row>
    <row r="452" spans="1:21">
      <c r="G452" s="2">
        <v>2</v>
      </c>
      <c r="H452" s="3" t="s">
        <v>64</v>
      </c>
      <c r="I452" s="3" t="s">
        <v>64</v>
      </c>
      <c r="J452" s="3" t="s">
        <v>64</v>
      </c>
      <c r="K452" s="3" t="s">
        <v>64</v>
      </c>
      <c r="L452" s="3" t="s">
        <v>64</v>
      </c>
      <c r="M452" s="3" t="s">
        <v>64</v>
      </c>
      <c r="N452" s="3" t="s">
        <v>64</v>
      </c>
      <c r="O452" s="3" t="s">
        <v>64</v>
      </c>
      <c r="P452" s="9"/>
    </row>
    <row r="453" spans="1:21">
      <c r="G453" s="2">
        <v>3</v>
      </c>
      <c r="H453" s="3">
        <v>0</v>
      </c>
      <c r="I453" s="3">
        <v>0</v>
      </c>
      <c r="J453" s="3">
        <v>0</v>
      </c>
      <c r="K453" s="28">
        <v>1</v>
      </c>
      <c r="L453" s="28">
        <v>1</v>
      </c>
      <c r="M453" s="3">
        <v>1</v>
      </c>
      <c r="N453" s="3">
        <v>1</v>
      </c>
      <c r="O453" s="3">
        <v>0</v>
      </c>
      <c r="P453" s="9" t="str">
        <f>BIN2HEX(""&amp;H453&amp;I453&amp;J453&amp;K453&amp;L453&amp;M453&amp;N453&amp;O453,2)</f>
        <v>1E</v>
      </c>
    </row>
    <row r="454" spans="1:21">
      <c r="P454" s="9"/>
    </row>
    <row r="455" spans="1:21">
      <c r="A455" s="2" t="s">
        <v>481</v>
      </c>
      <c r="B455" s="2" t="s">
        <v>485</v>
      </c>
      <c r="C455" s="2" t="s">
        <v>66</v>
      </c>
      <c r="E455" s="2" t="s">
        <v>45</v>
      </c>
      <c r="G455" s="2">
        <v>0</v>
      </c>
      <c r="H455" s="3">
        <v>1</v>
      </c>
      <c r="I455" s="3">
        <v>1</v>
      </c>
      <c r="J455" s="13">
        <v>1</v>
      </c>
      <c r="K455" s="3">
        <v>1</v>
      </c>
      <c r="L455" s="3">
        <v>1</v>
      </c>
      <c r="M455" s="3">
        <v>1</v>
      </c>
      <c r="N455" s="3">
        <v>0</v>
      </c>
      <c r="O455" s="3">
        <v>1</v>
      </c>
      <c r="P455" s="9" t="str">
        <f>BIN2HEX(""&amp;H455&amp;I455&amp;J455&amp;K455&amp;L455&amp;M455&amp;N455&amp;O455,2)</f>
        <v>FD</v>
      </c>
      <c r="Q455" s="2">
        <v>6</v>
      </c>
      <c r="R455" s="2" t="s">
        <v>458</v>
      </c>
      <c r="S455" s="2" t="s">
        <v>277</v>
      </c>
      <c r="T455" s="2" t="s">
        <v>480</v>
      </c>
    </row>
    <row r="456" spans="1:21">
      <c r="G456" s="2">
        <v>1</v>
      </c>
      <c r="H456" s="3">
        <v>1</v>
      </c>
      <c r="I456" s="3">
        <v>1</v>
      </c>
      <c r="J456" s="3">
        <v>0</v>
      </c>
      <c r="K456" s="3">
        <v>0</v>
      </c>
      <c r="L456" s="3">
        <v>1</v>
      </c>
      <c r="M456" s="3">
        <v>0</v>
      </c>
      <c r="N456" s="3">
        <v>1</v>
      </c>
      <c r="O456" s="3">
        <v>1</v>
      </c>
      <c r="P456" s="9" t="str">
        <f>BIN2HEX(""&amp;H456&amp;I456&amp;J456&amp;K456&amp;L456&amp;M456&amp;N456&amp;O456,2)</f>
        <v>CB</v>
      </c>
    </row>
    <row r="457" spans="1:21">
      <c r="G457" s="2">
        <v>2</v>
      </c>
      <c r="H457" s="3" t="s">
        <v>64</v>
      </c>
      <c r="I457" s="3" t="s">
        <v>64</v>
      </c>
      <c r="J457" s="3" t="s">
        <v>64</v>
      </c>
      <c r="K457" s="3" t="s">
        <v>64</v>
      </c>
      <c r="L457" s="3" t="s">
        <v>64</v>
      </c>
      <c r="M457" s="3" t="s">
        <v>64</v>
      </c>
      <c r="N457" s="3" t="s">
        <v>64</v>
      </c>
      <c r="O457" s="3" t="s">
        <v>64</v>
      </c>
      <c r="P457" s="9"/>
    </row>
    <row r="458" spans="1:21">
      <c r="G458" s="2">
        <v>3</v>
      </c>
      <c r="H458" s="3">
        <v>0</v>
      </c>
      <c r="I458" s="3">
        <v>0</v>
      </c>
      <c r="J458" s="3">
        <v>0</v>
      </c>
      <c r="K458" s="28">
        <v>1</v>
      </c>
      <c r="L458" s="28">
        <v>1</v>
      </c>
      <c r="M458" s="3">
        <v>1</v>
      </c>
      <c r="N458" s="3">
        <v>1</v>
      </c>
      <c r="O458" s="3">
        <v>0</v>
      </c>
      <c r="P458" s="9" t="str">
        <f>BIN2HEX(""&amp;H458&amp;I458&amp;J458&amp;K458&amp;L458&amp;M458&amp;N458&amp;O458,2)</f>
        <v>1E</v>
      </c>
    </row>
    <row r="459" spans="1:21">
      <c r="P459" s="9"/>
    </row>
    <row r="460" spans="1:21">
      <c r="A460" s="2" t="s">
        <v>486</v>
      </c>
      <c r="B460" s="2" t="s">
        <v>487</v>
      </c>
      <c r="C460" s="2" t="s">
        <v>29</v>
      </c>
      <c r="E460" s="2" t="s">
        <v>31</v>
      </c>
      <c r="G460" s="2">
        <v>0</v>
      </c>
      <c r="H460" s="3">
        <v>1</v>
      </c>
      <c r="I460" s="3">
        <v>1</v>
      </c>
      <c r="J460" s="3">
        <v>0</v>
      </c>
      <c r="K460" s="3">
        <v>0</v>
      </c>
      <c r="L460" s="3">
        <v>1</v>
      </c>
      <c r="M460" s="3">
        <v>0</v>
      </c>
      <c r="N460" s="3">
        <v>1</v>
      </c>
      <c r="O460" s="3">
        <v>1</v>
      </c>
      <c r="P460" s="9" t="str">
        <f>BIN2HEX(""&amp;H460&amp;I460&amp;J460&amp;K460&amp;L460&amp;M460&amp;N460&amp;O460,2)</f>
        <v>CB</v>
      </c>
      <c r="Q460" s="2">
        <v>2</v>
      </c>
      <c r="R460" s="2" t="s">
        <v>391</v>
      </c>
      <c r="S460" s="2" t="s">
        <v>277</v>
      </c>
      <c r="T460" s="2" t="s">
        <v>488</v>
      </c>
      <c r="U460" s="29" t="s">
        <v>474</v>
      </c>
    </row>
    <row r="461" spans="1:21">
      <c r="G461" s="2">
        <v>1</v>
      </c>
      <c r="H461" s="3">
        <v>0</v>
      </c>
      <c r="I461" s="3">
        <v>0</v>
      </c>
      <c r="J461" s="28">
        <v>1</v>
      </c>
      <c r="K461" s="28">
        <v>0</v>
      </c>
      <c r="L461" s="28">
        <v>0</v>
      </c>
      <c r="M461" s="3" t="s">
        <v>32</v>
      </c>
      <c r="N461" s="3" t="s">
        <v>32</v>
      </c>
      <c r="O461" s="3" t="s">
        <v>32</v>
      </c>
      <c r="P461" s="9"/>
    </row>
    <row r="462" spans="1:21">
      <c r="P462" s="9"/>
    </row>
    <row r="463" spans="1:21">
      <c r="A463" s="2" t="s">
        <v>486</v>
      </c>
      <c r="B463" s="2" t="s">
        <v>489</v>
      </c>
      <c r="C463" s="2" t="s">
        <v>50</v>
      </c>
      <c r="E463" s="2" t="s">
        <v>51</v>
      </c>
      <c r="G463" s="2">
        <v>0</v>
      </c>
      <c r="H463" s="3">
        <v>1</v>
      </c>
      <c r="I463" s="3">
        <v>1</v>
      </c>
      <c r="J463" s="3">
        <v>0</v>
      </c>
      <c r="K463" s="3">
        <v>0</v>
      </c>
      <c r="L463" s="3">
        <v>1</v>
      </c>
      <c r="M463" s="3">
        <v>0</v>
      </c>
      <c r="N463" s="3">
        <v>1</v>
      </c>
      <c r="O463" s="3">
        <v>1</v>
      </c>
      <c r="P463" s="9" t="str">
        <f>BIN2HEX(""&amp;H463&amp;I463&amp;J463&amp;K463&amp;L463&amp;M463&amp;N463&amp;O463,2)</f>
        <v>CB</v>
      </c>
      <c r="Q463" s="2">
        <v>4</v>
      </c>
      <c r="R463" s="2" t="s">
        <v>424</v>
      </c>
      <c r="S463" s="2" t="s">
        <v>277</v>
      </c>
      <c r="T463" s="2" t="s">
        <v>490</v>
      </c>
    </row>
    <row r="464" spans="1:21">
      <c r="G464" s="2">
        <v>1</v>
      </c>
      <c r="H464" s="3">
        <v>0</v>
      </c>
      <c r="I464" s="3">
        <v>0</v>
      </c>
      <c r="J464" s="28">
        <v>1</v>
      </c>
      <c r="K464" s="28">
        <v>0</v>
      </c>
      <c r="L464" s="28">
        <v>0</v>
      </c>
      <c r="M464" s="11">
        <v>1</v>
      </c>
      <c r="N464" s="11">
        <v>1</v>
      </c>
      <c r="O464" s="11">
        <v>0</v>
      </c>
      <c r="P464" s="9" t="str">
        <f>BIN2HEX(""&amp;H464&amp;I464&amp;J464&amp;K464&amp;L464&amp;M464&amp;N464&amp;O464,2)</f>
        <v>26</v>
      </c>
      <c r="U464" s="12" t="s">
        <v>53</v>
      </c>
    </row>
    <row r="465" spans="1:21">
      <c r="P465" s="9"/>
    </row>
    <row r="466" spans="1:21">
      <c r="A466" s="2" t="s">
        <v>486</v>
      </c>
      <c r="B466" s="2" t="s">
        <v>491</v>
      </c>
      <c r="C466" s="2" t="s">
        <v>57</v>
      </c>
      <c r="E466" s="2" t="s">
        <v>45</v>
      </c>
      <c r="G466" s="2">
        <v>0</v>
      </c>
      <c r="H466" s="3">
        <v>1</v>
      </c>
      <c r="I466" s="3">
        <v>1</v>
      </c>
      <c r="J466" s="13">
        <v>0</v>
      </c>
      <c r="K466" s="3">
        <v>1</v>
      </c>
      <c r="L466" s="3">
        <v>1</v>
      </c>
      <c r="M466" s="3">
        <v>1</v>
      </c>
      <c r="N466" s="3">
        <v>0</v>
      </c>
      <c r="O466" s="3">
        <v>1</v>
      </c>
      <c r="P466" s="9" t="str">
        <f>BIN2HEX(""&amp;H466&amp;I466&amp;J466&amp;K466&amp;L466&amp;M466&amp;N466&amp;O466,2)</f>
        <v>DD</v>
      </c>
      <c r="Q466" s="2">
        <v>6</v>
      </c>
      <c r="R466" s="2" t="s">
        <v>458</v>
      </c>
      <c r="S466" s="2" t="s">
        <v>277</v>
      </c>
      <c r="T466" s="2" t="s">
        <v>492</v>
      </c>
      <c r="U466" s="14" t="s">
        <v>60</v>
      </c>
    </row>
    <row r="467" spans="1:21">
      <c r="G467" s="2">
        <v>1</v>
      </c>
      <c r="H467" s="3">
        <v>1</v>
      </c>
      <c r="I467" s="3">
        <v>1</v>
      </c>
      <c r="J467" s="3">
        <v>0</v>
      </c>
      <c r="K467" s="3">
        <v>0</v>
      </c>
      <c r="L467" s="3">
        <v>1</v>
      </c>
      <c r="M467" s="3">
        <v>0</v>
      </c>
      <c r="N467" s="3">
        <v>1</v>
      </c>
      <c r="O467" s="3">
        <v>1</v>
      </c>
      <c r="P467" s="9" t="str">
        <f>BIN2HEX(""&amp;H467&amp;I467&amp;J467&amp;K467&amp;L467&amp;M467&amp;N467&amp;O467,2)</f>
        <v>CB</v>
      </c>
    </row>
    <row r="468" spans="1:21">
      <c r="G468" s="2">
        <v>2</v>
      </c>
      <c r="H468" s="3" t="s">
        <v>64</v>
      </c>
      <c r="I468" s="3" t="s">
        <v>64</v>
      </c>
      <c r="J468" s="3" t="s">
        <v>64</v>
      </c>
      <c r="K468" s="3" t="s">
        <v>64</v>
      </c>
      <c r="L468" s="3" t="s">
        <v>64</v>
      </c>
      <c r="M468" s="3" t="s">
        <v>64</v>
      </c>
      <c r="N468" s="3" t="s">
        <v>64</v>
      </c>
      <c r="O468" s="3" t="s">
        <v>64</v>
      </c>
      <c r="P468" s="9"/>
    </row>
    <row r="469" spans="1:21">
      <c r="G469" s="2">
        <v>3</v>
      </c>
      <c r="H469" s="3">
        <v>0</v>
      </c>
      <c r="I469" s="3">
        <v>0</v>
      </c>
      <c r="J469" s="28">
        <v>1</v>
      </c>
      <c r="K469" s="28">
        <v>0</v>
      </c>
      <c r="L469" s="28">
        <v>0</v>
      </c>
      <c r="M469" s="3">
        <v>1</v>
      </c>
      <c r="N469" s="3">
        <v>1</v>
      </c>
      <c r="O469" s="3">
        <v>0</v>
      </c>
      <c r="P469" s="9" t="str">
        <f>BIN2HEX(""&amp;H469&amp;I469&amp;J469&amp;K469&amp;L469&amp;M469&amp;N469&amp;O469,2)</f>
        <v>26</v>
      </c>
    </row>
    <row r="470" spans="1:21">
      <c r="P470" s="9"/>
    </row>
    <row r="471" spans="1:21">
      <c r="A471" s="2" t="s">
        <v>486</v>
      </c>
      <c r="B471" s="2" t="s">
        <v>493</v>
      </c>
      <c r="C471" s="2" t="s">
        <v>66</v>
      </c>
      <c r="E471" s="2" t="s">
        <v>45</v>
      </c>
      <c r="G471" s="2">
        <v>0</v>
      </c>
      <c r="H471" s="3">
        <v>1</v>
      </c>
      <c r="I471" s="3">
        <v>1</v>
      </c>
      <c r="J471" s="13">
        <v>1</v>
      </c>
      <c r="K471" s="3">
        <v>1</v>
      </c>
      <c r="L471" s="3">
        <v>1</v>
      </c>
      <c r="M471" s="3">
        <v>1</v>
      </c>
      <c r="N471" s="3">
        <v>0</v>
      </c>
      <c r="O471" s="3">
        <v>1</v>
      </c>
      <c r="P471" s="9" t="str">
        <f>BIN2HEX(""&amp;H471&amp;I471&amp;J471&amp;K471&amp;L471&amp;M471&amp;N471&amp;O471,2)</f>
        <v>FD</v>
      </c>
      <c r="Q471" s="2">
        <v>6</v>
      </c>
      <c r="R471" s="2" t="s">
        <v>458</v>
      </c>
      <c r="S471" s="2" t="s">
        <v>277</v>
      </c>
      <c r="T471" s="2" t="s">
        <v>494</v>
      </c>
    </row>
    <row r="472" spans="1:21">
      <c r="G472" s="2">
        <v>1</v>
      </c>
      <c r="H472" s="3">
        <v>1</v>
      </c>
      <c r="I472" s="3">
        <v>1</v>
      </c>
      <c r="J472" s="3">
        <v>0</v>
      </c>
      <c r="K472" s="3">
        <v>0</v>
      </c>
      <c r="L472" s="3">
        <v>1</v>
      </c>
      <c r="M472" s="3">
        <v>0</v>
      </c>
      <c r="N472" s="3">
        <v>1</v>
      </c>
      <c r="O472" s="3">
        <v>1</v>
      </c>
      <c r="P472" s="9" t="str">
        <f>BIN2HEX(""&amp;H472&amp;I472&amp;J472&amp;K472&amp;L472&amp;M472&amp;N472&amp;O472,2)</f>
        <v>CB</v>
      </c>
    </row>
    <row r="473" spans="1:21">
      <c r="G473" s="2">
        <v>2</v>
      </c>
      <c r="H473" s="3" t="s">
        <v>64</v>
      </c>
      <c r="I473" s="3" t="s">
        <v>64</v>
      </c>
      <c r="J473" s="3" t="s">
        <v>64</v>
      </c>
      <c r="K473" s="3" t="s">
        <v>64</v>
      </c>
      <c r="L473" s="3" t="s">
        <v>64</v>
      </c>
      <c r="M473" s="3" t="s">
        <v>64</v>
      </c>
      <c r="N473" s="3" t="s">
        <v>64</v>
      </c>
      <c r="O473" s="3" t="s">
        <v>64</v>
      </c>
      <c r="P473" s="9"/>
    </row>
    <row r="474" spans="1:21">
      <c r="G474" s="2">
        <v>3</v>
      </c>
      <c r="H474" s="3">
        <v>0</v>
      </c>
      <c r="I474" s="3">
        <v>0</v>
      </c>
      <c r="J474" s="28">
        <v>1</v>
      </c>
      <c r="K474" s="28">
        <v>0</v>
      </c>
      <c r="L474" s="28">
        <v>0</v>
      </c>
      <c r="M474" s="3">
        <v>1</v>
      </c>
      <c r="N474" s="3">
        <v>1</v>
      </c>
      <c r="O474" s="3">
        <v>0</v>
      </c>
      <c r="P474" s="9" t="str">
        <f>BIN2HEX(""&amp;H474&amp;I474&amp;J474&amp;K474&amp;L474&amp;M474&amp;N474&amp;O474,2)</f>
        <v>26</v>
      </c>
    </row>
    <row r="475" spans="1:21">
      <c r="P475" s="9"/>
    </row>
    <row r="476" spans="1:21">
      <c r="A476" s="33" t="s">
        <v>495</v>
      </c>
      <c r="B476" s="2" t="s">
        <v>496</v>
      </c>
      <c r="C476" s="2" t="s">
        <v>29</v>
      </c>
      <c r="E476" s="2" t="s">
        <v>31</v>
      </c>
      <c r="G476" s="2">
        <v>0</v>
      </c>
      <c r="H476" s="3">
        <v>1</v>
      </c>
      <c r="I476" s="3">
        <v>1</v>
      </c>
      <c r="J476" s="3">
        <v>0</v>
      </c>
      <c r="K476" s="3">
        <v>0</v>
      </c>
      <c r="L476" s="3">
        <v>1</v>
      </c>
      <c r="M476" s="3">
        <v>0</v>
      </c>
      <c r="N476" s="3">
        <v>1</v>
      </c>
      <c r="O476" s="3">
        <v>1</v>
      </c>
      <c r="P476" s="9" t="str">
        <f>BIN2HEX(""&amp;H476&amp;I476&amp;J476&amp;K476&amp;L476&amp;M476&amp;N476&amp;O476,2)</f>
        <v>CB</v>
      </c>
      <c r="Q476" s="2">
        <v>2</v>
      </c>
      <c r="R476" s="2" t="s">
        <v>391</v>
      </c>
      <c r="S476" s="2" t="s">
        <v>277</v>
      </c>
      <c r="T476" s="2" t="s">
        <v>488</v>
      </c>
      <c r="U476" s="29" t="s">
        <v>474</v>
      </c>
    </row>
    <row r="477" spans="1:21">
      <c r="G477" s="2">
        <v>1</v>
      </c>
      <c r="H477" s="3">
        <v>0</v>
      </c>
      <c r="I477" s="3">
        <v>0</v>
      </c>
      <c r="J477" s="28">
        <v>1</v>
      </c>
      <c r="K477" s="28">
        <v>1</v>
      </c>
      <c r="L477" s="28">
        <v>0</v>
      </c>
      <c r="M477" s="3" t="s">
        <v>32</v>
      </c>
      <c r="N477" s="3" t="s">
        <v>32</v>
      </c>
      <c r="O477" s="3" t="s">
        <v>32</v>
      </c>
      <c r="P477" s="9"/>
    </row>
    <row r="478" spans="1:21">
      <c r="P478" s="9"/>
    </row>
    <row r="479" spans="1:21">
      <c r="A479" s="33" t="s">
        <v>495</v>
      </c>
      <c r="B479" s="2" t="s">
        <v>497</v>
      </c>
      <c r="C479" s="2" t="s">
        <v>50</v>
      </c>
      <c r="E479" s="2" t="s">
        <v>51</v>
      </c>
      <c r="G479" s="2">
        <v>0</v>
      </c>
      <c r="H479" s="3">
        <v>1</v>
      </c>
      <c r="I479" s="3">
        <v>1</v>
      </c>
      <c r="J479" s="3">
        <v>0</v>
      </c>
      <c r="K479" s="3">
        <v>0</v>
      </c>
      <c r="L479" s="3">
        <v>1</v>
      </c>
      <c r="M479" s="3">
        <v>0</v>
      </c>
      <c r="N479" s="3">
        <v>1</v>
      </c>
      <c r="O479" s="3">
        <v>1</v>
      </c>
      <c r="P479" s="9" t="str">
        <f>BIN2HEX(""&amp;H479&amp;I479&amp;J479&amp;K479&amp;L479&amp;M479&amp;N479&amp;O479,2)</f>
        <v>CB</v>
      </c>
      <c r="Q479" s="2">
        <v>4</v>
      </c>
      <c r="R479" s="2" t="s">
        <v>424</v>
      </c>
      <c r="S479" s="2" t="s">
        <v>277</v>
      </c>
      <c r="T479" s="2" t="s">
        <v>490</v>
      </c>
      <c r="U479" s="33" t="s">
        <v>498</v>
      </c>
    </row>
    <row r="480" spans="1:21">
      <c r="G480" s="2">
        <v>1</v>
      </c>
      <c r="H480" s="3">
        <v>0</v>
      </c>
      <c r="I480" s="3">
        <v>0</v>
      </c>
      <c r="J480" s="28">
        <v>1</v>
      </c>
      <c r="K480" s="28">
        <v>1</v>
      </c>
      <c r="L480" s="28">
        <v>0</v>
      </c>
      <c r="M480" s="11">
        <v>1</v>
      </c>
      <c r="N480" s="11">
        <v>1</v>
      </c>
      <c r="O480" s="11">
        <v>0</v>
      </c>
      <c r="P480" s="9" t="str">
        <f>BIN2HEX(""&amp;H480&amp;I480&amp;J480&amp;K480&amp;L480&amp;M480&amp;N480&amp;O480,2)</f>
        <v>36</v>
      </c>
      <c r="U480" s="12" t="s">
        <v>53</v>
      </c>
    </row>
    <row r="481" spans="1:21">
      <c r="P481" s="9"/>
    </row>
    <row r="482" spans="1:21">
      <c r="A482" s="33" t="s">
        <v>495</v>
      </c>
      <c r="B482" s="2" t="s">
        <v>499</v>
      </c>
      <c r="C482" s="2" t="s">
        <v>57</v>
      </c>
      <c r="E482" s="2" t="s">
        <v>45</v>
      </c>
      <c r="G482" s="2">
        <v>0</v>
      </c>
      <c r="H482" s="3">
        <v>1</v>
      </c>
      <c r="I482" s="3">
        <v>1</v>
      </c>
      <c r="J482" s="13">
        <v>0</v>
      </c>
      <c r="K482" s="3">
        <v>1</v>
      </c>
      <c r="L482" s="3">
        <v>1</v>
      </c>
      <c r="M482" s="3">
        <v>1</v>
      </c>
      <c r="N482" s="3">
        <v>0</v>
      </c>
      <c r="O482" s="3">
        <v>1</v>
      </c>
      <c r="P482" s="9" t="str">
        <f>BIN2HEX(""&amp;H482&amp;I482&amp;J482&amp;K482&amp;L482&amp;M482&amp;N482&amp;O482,2)</f>
        <v>DD</v>
      </c>
      <c r="Q482" s="2">
        <v>6</v>
      </c>
      <c r="R482" s="2" t="s">
        <v>458</v>
      </c>
      <c r="S482" s="2" t="s">
        <v>277</v>
      </c>
      <c r="T482" s="2" t="s">
        <v>492</v>
      </c>
      <c r="U482" s="14" t="s">
        <v>60</v>
      </c>
    </row>
    <row r="483" spans="1:21">
      <c r="G483" s="2">
        <v>1</v>
      </c>
      <c r="H483" s="3">
        <v>1</v>
      </c>
      <c r="I483" s="3">
        <v>1</v>
      </c>
      <c r="J483" s="3">
        <v>0</v>
      </c>
      <c r="K483" s="3">
        <v>0</v>
      </c>
      <c r="L483" s="3">
        <v>1</v>
      </c>
      <c r="M483" s="3">
        <v>0</v>
      </c>
      <c r="N483" s="3">
        <v>1</v>
      </c>
      <c r="O483" s="3">
        <v>1</v>
      </c>
      <c r="P483" s="9" t="str">
        <f>BIN2HEX(""&amp;H483&amp;I483&amp;J483&amp;K483&amp;L483&amp;M483&amp;N483&amp;O483,2)</f>
        <v>CB</v>
      </c>
    </row>
    <row r="484" spans="1:21">
      <c r="G484" s="2">
        <v>2</v>
      </c>
      <c r="H484" s="3" t="s">
        <v>64</v>
      </c>
      <c r="I484" s="3" t="s">
        <v>64</v>
      </c>
      <c r="J484" s="3" t="s">
        <v>64</v>
      </c>
      <c r="K484" s="3" t="s">
        <v>64</v>
      </c>
      <c r="L484" s="3" t="s">
        <v>64</v>
      </c>
      <c r="M484" s="3" t="s">
        <v>64</v>
      </c>
      <c r="N484" s="3" t="s">
        <v>64</v>
      </c>
      <c r="O484" s="3" t="s">
        <v>64</v>
      </c>
      <c r="P484" s="9"/>
    </row>
    <row r="485" spans="1:21">
      <c r="G485" s="2">
        <v>3</v>
      </c>
      <c r="H485" s="3">
        <v>0</v>
      </c>
      <c r="I485" s="3">
        <v>0</v>
      </c>
      <c r="J485" s="28">
        <v>1</v>
      </c>
      <c r="K485" s="28">
        <v>1</v>
      </c>
      <c r="L485" s="28">
        <v>0</v>
      </c>
      <c r="M485" s="3">
        <v>1</v>
      </c>
      <c r="N485" s="3">
        <v>1</v>
      </c>
      <c r="O485" s="3">
        <v>0</v>
      </c>
      <c r="P485" s="9" t="str">
        <f>BIN2HEX(""&amp;H485&amp;I485&amp;J485&amp;K485&amp;L485&amp;M485&amp;N485&amp;O485,2)</f>
        <v>36</v>
      </c>
    </row>
    <row r="486" spans="1:21">
      <c r="P486" s="9"/>
    </row>
    <row r="487" spans="1:21">
      <c r="A487" s="33" t="s">
        <v>495</v>
      </c>
      <c r="B487" s="2" t="s">
        <v>500</v>
      </c>
      <c r="C487" s="2" t="s">
        <v>66</v>
      </c>
      <c r="E487" s="2" t="s">
        <v>45</v>
      </c>
      <c r="G487" s="2">
        <v>0</v>
      </c>
      <c r="H487" s="3">
        <v>1</v>
      </c>
      <c r="I487" s="3">
        <v>1</v>
      </c>
      <c r="J487" s="13">
        <v>1</v>
      </c>
      <c r="K487" s="3">
        <v>1</v>
      </c>
      <c r="L487" s="3">
        <v>1</v>
      </c>
      <c r="M487" s="3">
        <v>1</v>
      </c>
      <c r="N487" s="3">
        <v>0</v>
      </c>
      <c r="O487" s="3">
        <v>1</v>
      </c>
      <c r="P487" s="9" t="str">
        <f>BIN2HEX(""&amp;H487&amp;I487&amp;J487&amp;K487&amp;L487&amp;M487&amp;N487&amp;O487,2)</f>
        <v>FD</v>
      </c>
      <c r="Q487" s="2">
        <v>6</v>
      </c>
      <c r="R487" s="2" t="s">
        <v>458</v>
      </c>
      <c r="S487" s="2" t="s">
        <v>277</v>
      </c>
      <c r="T487" s="2" t="s">
        <v>494</v>
      </c>
    </row>
    <row r="488" spans="1:21">
      <c r="G488" s="2">
        <v>1</v>
      </c>
      <c r="H488" s="3">
        <v>1</v>
      </c>
      <c r="I488" s="3">
        <v>1</v>
      </c>
      <c r="J488" s="3">
        <v>0</v>
      </c>
      <c r="K488" s="3">
        <v>0</v>
      </c>
      <c r="L488" s="3">
        <v>1</v>
      </c>
      <c r="M488" s="3">
        <v>0</v>
      </c>
      <c r="N488" s="3">
        <v>1</v>
      </c>
      <c r="O488" s="3">
        <v>1</v>
      </c>
      <c r="P488" s="9" t="str">
        <f>BIN2HEX(""&amp;H488&amp;I488&amp;J488&amp;K488&amp;L488&amp;M488&amp;N488&amp;O488,2)</f>
        <v>CB</v>
      </c>
    </row>
    <row r="489" spans="1:21">
      <c r="G489" s="2">
        <v>2</v>
      </c>
      <c r="H489" s="3" t="s">
        <v>64</v>
      </c>
      <c r="I489" s="3" t="s">
        <v>64</v>
      </c>
      <c r="J489" s="3" t="s">
        <v>64</v>
      </c>
      <c r="K489" s="3" t="s">
        <v>64</v>
      </c>
      <c r="L489" s="3" t="s">
        <v>64</v>
      </c>
      <c r="M489" s="3" t="s">
        <v>64</v>
      </c>
      <c r="N489" s="3" t="s">
        <v>64</v>
      </c>
      <c r="O489" s="3" t="s">
        <v>64</v>
      </c>
      <c r="P489" s="9"/>
    </row>
    <row r="490" spans="1:21">
      <c r="G490" s="2">
        <v>3</v>
      </c>
      <c r="H490" s="3">
        <v>0</v>
      </c>
      <c r="I490" s="3">
        <v>0</v>
      </c>
      <c r="J490" s="28">
        <v>1</v>
      </c>
      <c r="K490" s="28">
        <v>1</v>
      </c>
      <c r="L490" s="28">
        <v>0</v>
      </c>
      <c r="M490" s="3">
        <v>1</v>
      </c>
      <c r="N490" s="3">
        <v>1</v>
      </c>
      <c r="O490" s="3">
        <v>0</v>
      </c>
      <c r="P490" s="9" t="str">
        <f>BIN2HEX(""&amp;H490&amp;I490&amp;J490&amp;K490&amp;L490&amp;M490&amp;N490&amp;O490,2)</f>
        <v>36</v>
      </c>
    </row>
    <row r="491" spans="1:21">
      <c r="P491" s="9"/>
    </row>
    <row r="492" spans="1:21">
      <c r="A492" s="2" t="s">
        <v>501</v>
      </c>
      <c r="B492" s="2" t="s">
        <v>502</v>
      </c>
      <c r="C492" s="2" t="s">
        <v>29</v>
      </c>
      <c r="E492" s="2" t="s">
        <v>31</v>
      </c>
      <c r="G492" s="2">
        <v>0</v>
      </c>
      <c r="H492" s="3">
        <v>1</v>
      </c>
      <c r="I492" s="3">
        <v>1</v>
      </c>
      <c r="J492" s="3">
        <v>0</v>
      </c>
      <c r="K492" s="3">
        <v>0</v>
      </c>
      <c r="L492" s="3">
        <v>1</v>
      </c>
      <c r="M492" s="3">
        <v>0</v>
      </c>
      <c r="N492" s="3">
        <v>1</v>
      </c>
      <c r="O492" s="3">
        <v>1</v>
      </c>
      <c r="P492" s="9" t="str">
        <f>BIN2HEX(""&amp;H492&amp;I492&amp;J492&amp;K492&amp;L492&amp;M492&amp;N492&amp;O492,2)</f>
        <v>CB</v>
      </c>
      <c r="Q492" s="2">
        <v>2</v>
      </c>
      <c r="R492" s="2" t="s">
        <v>391</v>
      </c>
      <c r="S492" s="2" t="s">
        <v>277</v>
      </c>
      <c r="T492" s="2" t="s">
        <v>503</v>
      </c>
      <c r="U492" s="29" t="s">
        <v>474</v>
      </c>
    </row>
    <row r="493" spans="1:21">
      <c r="G493" s="2">
        <v>1</v>
      </c>
      <c r="H493" s="3">
        <v>0</v>
      </c>
      <c r="I493" s="3">
        <v>0</v>
      </c>
      <c r="J493" s="28">
        <v>1</v>
      </c>
      <c r="K493" s="28">
        <v>0</v>
      </c>
      <c r="L493" s="28">
        <v>1</v>
      </c>
      <c r="M493" s="3" t="s">
        <v>32</v>
      </c>
      <c r="N493" s="3" t="s">
        <v>32</v>
      </c>
      <c r="O493" s="3" t="s">
        <v>32</v>
      </c>
      <c r="P493" s="9"/>
    </row>
    <row r="494" spans="1:21">
      <c r="P494" s="9"/>
    </row>
    <row r="495" spans="1:21">
      <c r="A495" s="2" t="s">
        <v>501</v>
      </c>
      <c r="B495" s="2" t="s">
        <v>504</v>
      </c>
      <c r="C495" s="2" t="s">
        <v>50</v>
      </c>
      <c r="E495" s="2" t="s">
        <v>51</v>
      </c>
      <c r="G495" s="2">
        <v>0</v>
      </c>
      <c r="H495" s="3">
        <v>1</v>
      </c>
      <c r="I495" s="3">
        <v>1</v>
      </c>
      <c r="J495" s="3">
        <v>0</v>
      </c>
      <c r="K495" s="3">
        <v>0</v>
      </c>
      <c r="L495" s="3">
        <v>1</v>
      </c>
      <c r="M495" s="3">
        <v>0</v>
      </c>
      <c r="N495" s="3">
        <v>1</v>
      </c>
      <c r="O495" s="3">
        <v>1</v>
      </c>
      <c r="P495" s="9" t="str">
        <f>BIN2HEX(""&amp;H495&amp;I495&amp;J495&amp;K495&amp;L495&amp;M495&amp;N495&amp;O495,2)</f>
        <v>CB</v>
      </c>
      <c r="Q495" s="2">
        <v>4</v>
      </c>
      <c r="R495" s="2" t="s">
        <v>424</v>
      </c>
      <c r="S495" s="2" t="s">
        <v>277</v>
      </c>
      <c r="T495" s="2" t="s">
        <v>505</v>
      </c>
    </row>
    <row r="496" spans="1:21">
      <c r="G496" s="2">
        <v>1</v>
      </c>
      <c r="H496" s="3">
        <v>0</v>
      </c>
      <c r="I496" s="3">
        <v>0</v>
      </c>
      <c r="J496" s="28">
        <v>1</v>
      </c>
      <c r="K496" s="28">
        <v>0</v>
      </c>
      <c r="L496" s="28">
        <v>1</v>
      </c>
      <c r="M496" s="11">
        <v>1</v>
      </c>
      <c r="N496" s="11">
        <v>1</v>
      </c>
      <c r="O496" s="11">
        <v>0</v>
      </c>
      <c r="P496" s="9" t="str">
        <f>BIN2HEX(""&amp;H496&amp;I496&amp;J496&amp;K496&amp;L496&amp;M496&amp;N496&amp;O496,2)</f>
        <v>2E</v>
      </c>
      <c r="U496" s="12" t="s">
        <v>53</v>
      </c>
    </row>
    <row r="497" spans="1:21">
      <c r="P497" s="9"/>
    </row>
    <row r="498" spans="1:21">
      <c r="A498" s="2" t="s">
        <v>501</v>
      </c>
      <c r="B498" s="2" t="s">
        <v>506</v>
      </c>
      <c r="C498" s="2" t="s">
        <v>57</v>
      </c>
      <c r="E498" s="2" t="s">
        <v>45</v>
      </c>
      <c r="G498" s="2">
        <v>0</v>
      </c>
      <c r="H498" s="3">
        <v>1</v>
      </c>
      <c r="I498" s="3">
        <v>1</v>
      </c>
      <c r="J498" s="13">
        <v>0</v>
      </c>
      <c r="K498" s="3">
        <v>1</v>
      </c>
      <c r="L498" s="3">
        <v>1</v>
      </c>
      <c r="M498" s="3">
        <v>1</v>
      </c>
      <c r="N498" s="3">
        <v>0</v>
      </c>
      <c r="O498" s="3">
        <v>1</v>
      </c>
      <c r="P498" s="9" t="str">
        <f>BIN2HEX(""&amp;H498&amp;I498&amp;J498&amp;K498&amp;L498&amp;M498&amp;N498&amp;O498,2)</f>
        <v>DD</v>
      </c>
      <c r="Q498" s="2">
        <v>6</v>
      </c>
      <c r="R498" s="2" t="s">
        <v>458</v>
      </c>
      <c r="S498" s="2" t="s">
        <v>277</v>
      </c>
      <c r="T498" s="2" t="s">
        <v>507</v>
      </c>
      <c r="U498" s="14" t="s">
        <v>60</v>
      </c>
    </row>
    <row r="499" spans="1:21">
      <c r="G499" s="2">
        <v>1</v>
      </c>
      <c r="H499" s="3">
        <v>1</v>
      </c>
      <c r="I499" s="3">
        <v>1</v>
      </c>
      <c r="J499" s="3">
        <v>0</v>
      </c>
      <c r="K499" s="3">
        <v>0</v>
      </c>
      <c r="L499" s="3">
        <v>1</v>
      </c>
      <c r="M499" s="3">
        <v>0</v>
      </c>
      <c r="N499" s="3">
        <v>1</v>
      </c>
      <c r="O499" s="3">
        <v>1</v>
      </c>
      <c r="P499" s="9" t="str">
        <f>BIN2HEX(""&amp;H499&amp;I499&amp;J499&amp;K499&amp;L499&amp;M499&amp;N499&amp;O499,2)</f>
        <v>CB</v>
      </c>
    </row>
    <row r="500" spans="1:21">
      <c r="G500" s="2">
        <v>2</v>
      </c>
      <c r="H500" s="3" t="s">
        <v>64</v>
      </c>
      <c r="I500" s="3" t="s">
        <v>64</v>
      </c>
      <c r="J500" s="3" t="s">
        <v>64</v>
      </c>
      <c r="K500" s="3" t="s">
        <v>64</v>
      </c>
      <c r="L500" s="3" t="s">
        <v>64</v>
      </c>
      <c r="M500" s="3" t="s">
        <v>64</v>
      </c>
      <c r="N500" s="3" t="s">
        <v>64</v>
      </c>
      <c r="O500" s="3" t="s">
        <v>64</v>
      </c>
      <c r="P500" s="9"/>
    </row>
    <row r="501" spans="1:21">
      <c r="G501" s="2">
        <v>3</v>
      </c>
      <c r="H501" s="3">
        <v>0</v>
      </c>
      <c r="I501" s="3">
        <v>0</v>
      </c>
      <c r="J501" s="28">
        <v>1</v>
      </c>
      <c r="K501" s="28">
        <v>0</v>
      </c>
      <c r="L501" s="28">
        <v>1</v>
      </c>
      <c r="M501" s="3">
        <v>1</v>
      </c>
      <c r="N501" s="3">
        <v>1</v>
      </c>
      <c r="O501" s="3">
        <v>0</v>
      </c>
      <c r="P501" s="9" t="str">
        <f>BIN2HEX(""&amp;H501&amp;I501&amp;J501&amp;K501&amp;L501&amp;M501&amp;N501&amp;O501,2)</f>
        <v>2E</v>
      </c>
    </row>
    <row r="502" spans="1:21">
      <c r="P502" s="9"/>
    </row>
    <row r="503" spans="1:21">
      <c r="A503" s="2" t="s">
        <v>501</v>
      </c>
      <c r="B503" s="2" t="s">
        <v>508</v>
      </c>
      <c r="C503" s="2" t="s">
        <v>66</v>
      </c>
      <c r="E503" s="2" t="s">
        <v>45</v>
      </c>
      <c r="G503" s="2">
        <v>0</v>
      </c>
      <c r="H503" s="3">
        <v>1</v>
      </c>
      <c r="I503" s="3">
        <v>1</v>
      </c>
      <c r="J503" s="13">
        <v>1</v>
      </c>
      <c r="K503" s="3">
        <v>1</v>
      </c>
      <c r="L503" s="3">
        <v>1</v>
      </c>
      <c r="M503" s="3">
        <v>1</v>
      </c>
      <c r="N503" s="3">
        <v>0</v>
      </c>
      <c r="O503" s="3">
        <v>1</v>
      </c>
      <c r="P503" s="9" t="str">
        <f>BIN2HEX(""&amp;H503&amp;I503&amp;J503&amp;K503&amp;L503&amp;M503&amp;N503&amp;O503,2)</f>
        <v>FD</v>
      </c>
      <c r="Q503" s="2">
        <v>6</v>
      </c>
      <c r="R503" s="2" t="s">
        <v>458</v>
      </c>
      <c r="S503" s="2" t="s">
        <v>277</v>
      </c>
      <c r="T503" s="2" t="s">
        <v>509</v>
      </c>
    </row>
    <row r="504" spans="1:21">
      <c r="G504" s="2">
        <v>1</v>
      </c>
      <c r="H504" s="3">
        <v>1</v>
      </c>
      <c r="I504" s="3">
        <v>1</v>
      </c>
      <c r="J504" s="3">
        <v>0</v>
      </c>
      <c r="K504" s="3">
        <v>0</v>
      </c>
      <c r="L504" s="3">
        <v>1</v>
      </c>
      <c r="M504" s="3">
        <v>0</v>
      </c>
      <c r="N504" s="3">
        <v>1</v>
      </c>
      <c r="O504" s="3">
        <v>1</v>
      </c>
      <c r="P504" s="9" t="str">
        <f>BIN2HEX(""&amp;H504&amp;I504&amp;J504&amp;K504&amp;L504&amp;M504&amp;N504&amp;O504,2)</f>
        <v>CB</v>
      </c>
    </row>
    <row r="505" spans="1:21">
      <c r="G505" s="2">
        <v>2</v>
      </c>
      <c r="H505" s="3" t="s">
        <v>64</v>
      </c>
      <c r="I505" s="3" t="s">
        <v>64</v>
      </c>
      <c r="J505" s="3" t="s">
        <v>64</v>
      </c>
      <c r="K505" s="3" t="s">
        <v>64</v>
      </c>
      <c r="L505" s="3" t="s">
        <v>64</v>
      </c>
      <c r="M505" s="3" t="s">
        <v>64</v>
      </c>
      <c r="N505" s="3" t="s">
        <v>64</v>
      </c>
      <c r="O505" s="3" t="s">
        <v>64</v>
      </c>
      <c r="P505" s="9"/>
    </row>
    <row r="506" spans="1:21">
      <c r="G506" s="2">
        <v>3</v>
      </c>
      <c r="H506" s="3">
        <v>0</v>
      </c>
      <c r="I506" s="3">
        <v>0</v>
      </c>
      <c r="J506" s="28">
        <v>1</v>
      </c>
      <c r="K506" s="28">
        <v>0</v>
      </c>
      <c r="L506" s="28">
        <v>1</v>
      </c>
      <c r="M506" s="3">
        <v>1</v>
      </c>
      <c r="N506" s="3">
        <v>1</v>
      </c>
      <c r="O506" s="3">
        <v>0</v>
      </c>
      <c r="P506" s="9" t="str">
        <f>BIN2HEX(""&amp;H506&amp;I506&amp;J506&amp;K506&amp;L506&amp;M506&amp;N506&amp;O506,2)</f>
        <v>2E</v>
      </c>
    </row>
    <row r="507" spans="1:21">
      <c r="P507" s="9"/>
    </row>
    <row r="508" spans="1:21">
      <c r="A508" s="2" t="s">
        <v>510</v>
      </c>
      <c r="B508" s="2" t="s">
        <v>511</v>
      </c>
      <c r="C508" s="2" t="s">
        <v>29</v>
      </c>
      <c r="E508" s="2" t="s">
        <v>31</v>
      </c>
      <c r="G508" s="2">
        <v>0</v>
      </c>
      <c r="H508" s="3">
        <v>1</v>
      </c>
      <c r="I508" s="3">
        <v>1</v>
      </c>
      <c r="J508" s="3">
        <v>0</v>
      </c>
      <c r="K508" s="3">
        <v>0</v>
      </c>
      <c r="L508" s="3">
        <v>1</v>
      </c>
      <c r="M508" s="3">
        <v>0</v>
      </c>
      <c r="N508" s="3">
        <v>1</v>
      </c>
      <c r="O508" s="3">
        <v>1</v>
      </c>
      <c r="P508" s="9" t="str">
        <f>BIN2HEX(""&amp;H508&amp;I508&amp;J508&amp;K508&amp;L508&amp;M508&amp;N508&amp;O508,2)</f>
        <v>CB</v>
      </c>
      <c r="Q508" s="2">
        <v>2</v>
      </c>
      <c r="R508" s="2" t="s">
        <v>391</v>
      </c>
      <c r="S508" s="2" t="s">
        <v>277</v>
      </c>
      <c r="T508" s="2" t="s">
        <v>512</v>
      </c>
      <c r="U508" s="29" t="s">
        <v>474</v>
      </c>
    </row>
    <row r="509" spans="1:21">
      <c r="G509" s="2">
        <v>1</v>
      </c>
      <c r="H509" s="3">
        <v>0</v>
      </c>
      <c r="I509" s="3">
        <v>0</v>
      </c>
      <c r="J509" s="28">
        <v>1</v>
      </c>
      <c r="K509" s="28">
        <v>1</v>
      </c>
      <c r="L509" s="28">
        <v>1</v>
      </c>
      <c r="M509" s="3" t="s">
        <v>32</v>
      </c>
      <c r="N509" s="3" t="s">
        <v>32</v>
      </c>
      <c r="O509" s="3" t="s">
        <v>32</v>
      </c>
      <c r="P509" s="9"/>
    </row>
    <row r="510" spans="1:21">
      <c r="P510" s="9"/>
    </row>
    <row r="511" spans="1:21">
      <c r="A511" s="2" t="s">
        <v>510</v>
      </c>
      <c r="B511" s="2" t="s">
        <v>513</v>
      </c>
      <c r="C511" s="2" t="s">
        <v>50</v>
      </c>
      <c r="E511" s="2" t="s">
        <v>51</v>
      </c>
      <c r="G511" s="2">
        <v>0</v>
      </c>
      <c r="H511" s="3">
        <v>1</v>
      </c>
      <c r="I511" s="3">
        <v>1</v>
      </c>
      <c r="J511" s="3">
        <v>0</v>
      </c>
      <c r="K511" s="3">
        <v>0</v>
      </c>
      <c r="L511" s="3">
        <v>1</v>
      </c>
      <c r="M511" s="3">
        <v>0</v>
      </c>
      <c r="N511" s="3">
        <v>1</v>
      </c>
      <c r="O511" s="3">
        <v>1</v>
      </c>
      <c r="P511" s="9" t="str">
        <f>BIN2HEX(""&amp;H511&amp;I511&amp;J511&amp;K511&amp;L511&amp;M511&amp;N511&amp;O511,2)</f>
        <v>CB</v>
      </c>
      <c r="Q511" s="2">
        <v>4</v>
      </c>
      <c r="R511" s="2" t="s">
        <v>424</v>
      </c>
      <c r="S511" s="2" t="s">
        <v>277</v>
      </c>
      <c r="T511" s="2" t="s">
        <v>514</v>
      </c>
    </row>
    <row r="512" spans="1:21">
      <c r="G512" s="2">
        <v>1</v>
      </c>
      <c r="H512" s="3">
        <v>0</v>
      </c>
      <c r="I512" s="3">
        <v>0</v>
      </c>
      <c r="J512" s="28">
        <v>1</v>
      </c>
      <c r="K512" s="28">
        <v>1</v>
      </c>
      <c r="L512" s="28">
        <v>1</v>
      </c>
      <c r="M512" s="11">
        <v>1</v>
      </c>
      <c r="N512" s="11">
        <v>1</v>
      </c>
      <c r="O512" s="11">
        <v>0</v>
      </c>
      <c r="P512" s="9" t="str">
        <f>BIN2HEX(""&amp;H512&amp;I512&amp;J512&amp;K512&amp;L512&amp;M512&amp;N512&amp;O512,2)</f>
        <v>3E</v>
      </c>
      <c r="U512" s="12" t="s">
        <v>53</v>
      </c>
    </row>
    <row r="513" spans="1:21">
      <c r="P513" s="9"/>
    </row>
    <row r="514" spans="1:21">
      <c r="A514" s="2" t="s">
        <v>510</v>
      </c>
      <c r="B514" s="2" t="s">
        <v>515</v>
      </c>
      <c r="C514" s="2" t="s">
        <v>57</v>
      </c>
      <c r="E514" s="2" t="s">
        <v>45</v>
      </c>
      <c r="G514" s="2">
        <v>0</v>
      </c>
      <c r="H514" s="3">
        <v>1</v>
      </c>
      <c r="I514" s="3">
        <v>1</v>
      </c>
      <c r="J514" s="13">
        <v>0</v>
      </c>
      <c r="K514" s="3">
        <v>1</v>
      </c>
      <c r="L514" s="3">
        <v>1</v>
      </c>
      <c r="M514" s="3">
        <v>1</v>
      </c>
      <c r="N514" s="3">
        <v>0</v>
      </c>
      <c r="O514" s="3">
        <v>1</v>
      </c>
      <c r="P514" s="9" t="str">
        <f>BIN2HEX(""&amp;H514&amp;I514&amp;J514&amp;K514&amp;L514&amp;M514&amp;N514&amp;O514,2)</f>
        <v>DD</v>
      </c>
      <c r="Q514" s="2">
        <v>6</v>
      </c>
      <c r="R514" s="2" t="s">
        <v>458</v>
      </c>
      <c r="S514" s="2" t="s">
        <v>277</v>
      </c>
      <c r="T514" s="2" t="s">
        <v>516</v>
      </c>
      <c r="U514" s="14" t="s">
        <v>60</v>
      </c>
    </row>
    <row r="515" spans="1:21">
      <c r="G515" s="2">
        <v>1</v>
      </c>
      <c r="H515" s="3">
        <v>1</v>
      </c>
      <c r="I515" s="3">
        <v>1</v>
      </c>
      <c r="J515" s="3">
        <v>0</v>
      </c>
      <c r="K515" s="3">
        <v>0</v>
      </c>
      <c r="L515" s="3">
        <v>1</v>
      </c>
      <c r="M515" s="3">
        <v>0</v>
      </c>
      <c r="N515" s="3">
        <v>1</v>
      </c>
      <c r="O515" s="3">
        <v>1</v>
      </c>
      <c r="P515" s="9" t="str">
        <f>BIN2HEX(""&amp;H515&amp;I515&amp;J515&amp;K515&amp;L515&amp;M515&amp;N515&amp;O515,2)</f>
        <v>CB</v>
      </c>
    </row>
    <row r="516" spans="1:21">
      <c r="G516" s="2">
        <v>2</v>
      </c>
      <c r="H516" s="3" t="s">
        <v>64</v>
      </c>
      <c r="I516" s="3" t="s">
        <v>64</v>
      </c>
      <c r="J516" s="3" t="s">
        <v>64</v>
      </c>
      <c r="K516" s="3" t="s">
        <v>64</v>
      </c>
      <c r="L516" s="3" t="s">
        <v>64</v>
      </c>
      <c r="M516" s="3" t="s">
        <v>64</v>
      </c>
      <c r="N516" s="3" t="s">
        <v>64</v>
      </c>
      <c r="O516" s="3" t="s">
        <v>64</v>
      </c>
      <c r="P516" s="9"/>
    </row>
    <row r="517" spans="1:21">
      <c r="G517" s="2">
        <v>3</v>
      </c>
      <c r="H517" s="3">
        <v>0</v>
      </c>
      <c r="I517" s="3">
        <v>0</v>
      </c>
      <c r="J517" s="28">
        <v>1</v>
      </c>
      <c r="K517" s="28">
        <v>1</v>
      </c>
      <c r="L517" s="28">
        <v>1</v>
      </c>
      <c r="M517" s="3">
        <v>1</v>
      </c>
      <c r="N517" s="3">
        <v>1</v>
      </c>
      <c r="O517" s="3">
        <v>0</v>
      </c>
      <c r="P517" s="9" t="str">
        <f>BIN2HEX(""&amp;H517&amp;I517&amp;J517&amp;K517&amp;L517&amp;M517&amp;N517&amp;O517,2)</f>
        <v>3E</v>
      </c>
    </row>
    <row r="518" spans="1:21">
      <c r="P518" s="9"/>
    </row>
    <row r="519" spans="1:21">
      <c r="A519" s="2" t="s">
        <v>510</v>
      </c>
      <c r="B519" s="2" t="s">
        <v>517</v>
      </c>
      <c r="C519" s="2" t="s">
        <v>66</v>
      </c>
      <c r="E519" s="2" t="s">
        <v>45</v>
      </c>
      <c r="G519" s="2">
        <v>0</v>
      </c>
      <c r="H519" s="3">
        <v>1</v>
      </c>
      <c r="I519" s="3">
        <v>1</v>
      </c>
      <c r="J519" s="13">
        <v>1</v>
      </c>
      <c r="K519" s="3">
        <v>1</v>
      </c>
      <c r="L519" s="3">
        <v>1</v>
      </c>
      <c r="M519" s="3">
        <v>1</v>
      </c>
      <c r="N519" s="3">
        <v>0</v>
      </c>
      <c r="O519" s="3">
        <v>1</v>
      </c>
      <c r="P519" s="9" t="str">
        <f>BIN2HEX(""&amp;H519&amp;I519&amp;J519&amp;K519&amp;L519&amp;M519&amp;N519&amp;O519,2)</f>
        <v>FD</v>
      </c>
      <c r="Q519" s="2">
        <v>6</v>
      </c>
      <c r="R519" s="2" t="s">
        <v>458</v>
      </c>
      <c r="S519" s="2" t="s">
        <v>277</v>
      </c>
      <c r="T519" s="2" t="s">
        <v>518</v>
      </c>
    </row>
    <row r="520" spans="1:21">
      <c r="G520" s="2">
        <v>1</v>
      </c>
      <c r="H520" s="3">
        <v>1</v>
      </c>
      <c r="I520" s="3">
        <v>1</v>
      </c>
      <c r="J520" s="3">
        <v>0</v>
      </c>
      <c r="K520" s="3">
        <v>0</v>
      </c>
      <c r="L520" s="3">
        <v>1</v>
      </c>
      <c r="M520" s="3">
        <v>0</v>
      </c>
      <c r="N520" s="3">
        <v>1</v>
      </c>
      <c r="O520" s="3">
        <v>1</v>
      </c>
      <c r="P520" s="9" t="str">
        <f>BIN2HEX(""&amp;H520&amp;I520&amp;J520&amp;K520&amp;L520&amp;M520&amp;N520&amp;O520,2)</f>
        <v>CB</v>
      </c>
    </row>
    <row r="521" spans="1:21">
      <c r="G521" s="2">
        <v>2</v>
      </c>
      <c r="H521" s="3" t="s">
        <v>64</v>
      </c>
      <c r="I521" s="3" t="s">
        <v>64</v>
      </c>
      <c r="J521" s="3" t="s">
        <v>64</v>
      </c>
      <c r="K521" s="3" t="s">
        <v>64</v>
      </c>
      <c r="L521" s="3" t="s">
        <v>64</v>
      </c>
      <c r="M521" s="3" t="s">
        <v>64</v>
      </c>
      <c r="N521" s="3" t="s">
        <v>64</v>
      </c>
      <c r="O521" s="3" t="s">
        <v>64</v>
      </c>
      <c r="P521" s="9"/>
    </row>
    <row r="522" spans="1:21">
      <c r="G522" s="2">
        <v>3</v>
      </c>
      <c r="H522" s="3">
        <v>0</v>
      </c>
      <c r="I522" s="3">
        <v>0</v>
      </c>
      <c r="J522" s="28">
        <v>1</v>
      </c>
      <c r="K522" s="28">
        <v>1</v>
      </c>
      <c r="L522" s="28">
        <v>1</v>
      </c>
      <c r="M522" s="3">
        <v>1</v>
      </c>
      <c r="N522" s="3">
        <v>1</v>
      </c>
      <c r="O522" s="3">
        <v>0</v>
      </c>
      <c r="P522" s="9" t="str">
        <f>BIN2HEX(""&amp;H522&amp;I522&amp;J522&amp;K522&amp;L522&amp;M522&amp;N522&amp;O522,2)</f>
        <v>3E</v>
      </c>
    </row>
    <row r="523" spans="1:21">
      <c r="P523" s="9"/>
    </row>
    <row r="524" spans="1:21">
      <c r="A524" s="2" t="s">
        <v>519</v>
      </c>
      <c r="B524" s="2" t="s">
        <v>519</v>
      </c>
      <c r="G524" s="2">
        <v>0</v>
      </c>
      <c r="H524" s="3">
        <v>1</v>
      </c>
      <c r="I524" s="3">
        <v>1</v>
      </c>
      <c r="J524" s="3">
        <v>1</v>
      </c>
      <c r="K524" s="3">
        <v>0</v>
      </c>
      <c r="L524" s="3">
        <v>1</v>
      </c>
      <c r="M524" s="3">
        <v>1</v>
      </c>
      <c r="N524" s="3">
        <v>0</v>
      </c>
      <c r="O524" s="3">
        <v>1</v>
      </c>
      <c r="P524" s="9" t="str">
        <f>BIN2HEX(""&amp;H524&amp;I524&amp;J524&amp;K524&amp;L524&amp;M524&amp;N524&amp;O524,2)</f>
        <v>ED</v>
      </c>
      <c r="Q524" s="2">
        <v>5</v>
      </c>
      <c r="R524" s="2" t="s">
        <v>520</v>
      </c>
      <c r="S524" s="2" t="s">
        <v>123</v>
      </c>
      <c r="T524" s="2" t="s">
        <v>521</v>
      </c>
    </row>
    <row r="525" spans="1:21">
      <c r="G525" s="2">
        <v>1</v>
      </c>
      <c r="H525" s="3">
        <v>0</v>
      </c>
      <c r="I525" s="3">
        <v>1</v>
      </c>
      <c r="J525" s="3">
        <v>1</v>
      </c>
      <c r="K525" s="3">
        <v>0</v>
      </c>
      <c r="L525" s="28">
        <v>1</v>
      </c>
      <c r="M525" s="3">
        <v>1</v>
      </c>
      <c r="N525" s="3">
        <v>1</v>
      </c>
      <c r="O525" s="3">
        <v>1</v>
      </c>
      <c r="P525" s="9" t="str">
        <f>BIN2HEX(""&amp;H525&amp;I525&amp;J525&amp;K525&amp;L525&amp;M525&amp;N525&amp;O525,2)</f>
        <v>6F</v>
      </c>
    </row>
    <row r="526" spans="1:21">
      <c r="P526" s="9"/>
    </row>
    <row r="527" spans="1:21">
      <c r="A527" s="2" t="s">
        <v>522</v>
      </c>
      <c r="B527" s="2" t="s">
        <v>522</v>
      </c>
      <c r="G527" s="2">
        <v>0</v>
      </c>
      <c r="H527" s="3">
        <v>1</v>
      </c>
      <c r="I527" s="3">
        <v>1</v>
      </c>
      <c r="J527" s="3">
        <v>1</v>
      </c>
      <c r="K527" s="3">
        <v>0</v>
      </c>
      <c r="L527" s="3">
        <v>1</v>
      </c>
      <c r="M527" s="3">
        <v>1</v>
      </c>
      <c r="N527" s="3">
        <v>0</v>
      </c>
      <c r="O527" s="3">
        <v>1</v>
      </c>
      <c r="P527" s="9" t="str">
        <f>BIN2HEX(""&amp;H527&amp;I527&amp;J527&amp;K527&amp;L527&amp;M527&amp;N527&amp;O527,2)</f>
        <v>ED</v>
      </c>
      <c r="Q527" s="2">
        <v>5</v>
      </c>
      <c r="R527" s="2" t="s">
        <v>520</v>
      </c>
      <c r="S527" s="2" t="s">
        <v>123</v>
      </c>
      <c r="T527" s="2" t="s">
        <v>523</v>
      </c>
    </row>
    <row r="528" spans="1:21">
      <c r="G528" s="2">
        <v>1</v>
      </c>
      <c r="H528" s="3">
        <v>0</v>
      </c>
      <c r="I528" s="3">
        <v>1</v>
      </c>
      <c r="J528" s="3">
        <v>1</v>
      </c>
      <c r="K528" s="3">
        <v>0</v>
      </c>
      <c r="L528" s="28">
        <v>0</v>
      </c>
      <c r="M528" s="3">
        <v>1</v>
      </c>
      <c r="N528" s="3">
        <v>1</v>
      </c>
      <c r="O528" s="3">
        <v>1</v>
      </c>
      <c r="P528" s="9" t="str">
        <f>BIN2HEX(""&amp;H528&amp;I528&amp;J528&amp;K528&amp;L528&amp;M528&amp;N528&amp;O528,2)</f>
        <v>67</v>
      </c>
    </row>
    <row r="529" spans="1:21">
      <c r="P529" s="9"/>
    </row>
    <row r="530" spans="1:21">
      <c r="A530" s="2" t="s">
        <v>524</v>
      </c>
      <c r="B530" s="2" t="s">
        <v>525</v>
      </c>
      <c r="C530" s="2" t="s">
        <v>526</v>
      </c>
      <c r="D530" s="2" t="s">
        <v>29</v>
      </c>
      <c r="E530" s="2" t="s">
        <v>527</v>
      </c>
      <c r="F530" s="2" t="s">
        <v>31</v>
      </c>
      <c r="G530" s="2">
        <v>0</v>
      </c>
      <c r="H530" s="3">
        <v>1</v>
      </c>
      <c r="I530" s="3">
        <v>1</v>
      </c>
      <c r="J530" s="3">
        <v>0</v>
      </c>
      <c r="K530" s="3">
        <v>0</v>
      </c>
      <c r="L530" s="3">
        <v>1</v>
      </c>
      <c r="M530" s="3">
        <v>0</v>
      </c>
      <c r="N530" s="3">
        <v>1</v>
      </c>
      <c r="O530" s="3">
        <v>1</v>
      </c>
      <c r="P530" s="9" t="str">
        <f>BIN2HEX(""&amp;H530&amp;I530&amp;J530&amp;K530&amp;L530&amp;M530&amp;N530&amp;O530,2)</f>
        <v>CB</v>
      </c>
      <c r="Q530" s="2">
        <v>2</v>
      </c>
      <c r="R530" s="2" t="s">
        <v>391</v>
      </c>
      <c r="S530" s="2" t="s">
        <v>528</v>
      </c>
      <c r="T530" s="2" t="s">
        <v>529</v>
      </c>
    </row>
    <row r="531" spans="1:21">
      <c r="G531" s="2">
        <v>1</v>
      </c>
      <c r="H531" s="3">
        <v>0</v>
      </c>
      <c r="I531" s="3">
        <v>1</v>
      </c>
      <c r="J531" s="3" t="s">
        <v>530</v>
      </c>
      <c r="K531" s="3" t="s">
        <v>530</v>
      </c>
      <c r="L531" s="3" t="s">
        <v>530</v>
      </c>
      <c r="M531" s="3" t="s">
        <v>32</v>
      </c>
      <c r="N531" s="3" t="s">
        <v>32</v>
      </c>
      <c r="O531" s="3" t="s">
        <v>32</v>
      </c>
      <c r="P531" s="9"/>
    </row>
    <row r="532" spans="1:21">
      <c r="P532" s="9"/>
    </row>
    <row r="533" spans="1:21">
      <c r="A533" s="2" t="s">
        <v>524</v>
      </c>
      <c r="B533" s="2" t="s">
        <v>531</v>
      </c>
      <c r="C533" s="2" t="s">
        <v>526</v>
      </c>
      <c r="D533" s="2" t="s">
        <v>50</v>
      </c>
      <c r="E533" s="2" t="s">
        <v>527</v>
      </c>
      <c r="F533" s="2" t="s">
        <v>51</v>
      </c>
      <c r="G533" s="2">
        <v>0</v>
      </c>
      <c r="H533" s="3">
        <v>1</v>
      </c>
      <c r="I533" s="3">
        <v>1</v>
      </c>
      <c r="J533" s="3">
        <v>0</v>
      </c>
      <c r="K533" s="3">
        <v>0</v>
      </c>
      <c r="L533" s="3">
        <v>1</v>
      </c>
      <c r="M533" s="3">
        <v>0</v>
      </c>
      <c r="N533" s="3">
        <v>1</v>
      </c>
      <c r="O533" s="3">
        <v>1</v>
      </c>
      <c r="P533" s="9" t="str">
        <f>BIN2HEX(""&amp;H533&amp;I533&amp;J533&amp;K533&amp;L533&amp;M533&amp;N533&amp;O533,2)</f>
        <v>CB</v>
      </c>
      <c r="Q533" s="2">
        <v>3</v>
      </c>
      <c r="R533" s="2" t="s">
        <v>532</v>
      </c>
      <c r="S533" s="2" t="s">
        <v>528</v>
      </c>
      <c r="T533" s="2" t="s">
        <v>533</v>
      </c>
    </row>
    <row r="534" spans="1:21">
      <c r="G534" s="2">
        <v>1</v>
      </c>
      <c r="H534" s="3">
        <v>0</v>
      </c>
      <c r="I534" s="3">
        <v>1</v>
      </c>
      <c r="J534" s="3" t="s">
        <v>530</v>
      </c>
      <c r="K534" s="3" t="s">
        <v>530</v>
      </c>
      <c r="L534" s="3" t="s">
        <v>530</v>
      </c>
      <c r="M534" s="11">
        <v>1</v>
      </c>
      <c r="N534" s="11">
        <v>1</v>
      </c>
      <c r="O534" s="11">
        <v>0</v>
      </c>
      <c r="P534" s="9"/>
      <c r="U534" s="12" t="s">
        <v>53</v>
      </c>
    </row>
    <row r="535" spans="1:21">
      <c r="P535" s="9"/>
    </row>
    <row r="536" spans="1:21">
      <c r="A536" s="2" t="s">
        <v>524</v>
      </c>
      <c r="B536" s="2" t="s">
        <v>534</v>
      </c>
      <c r="C536" s="2" t="s">
        <v>526</v>
      </c>
      <c r="D536" s="2" t="s">
        <v>57</v>
      </c>
      <c r="E536" s="2" t="s">
        <v>527</v>
      </c>
      <c r="F536" s="2" t="s">
        <v>45</v>
      </c>
      <c r="G536" s="2">
        <v>0</v>
      </c>
      <c r="H536" s="3">
        <v>1</v>
      </c>
      <c r="I536" s="3">
        <v>1</v>
      </c>
      <c r="J536" s="13">
        <v>0</v>
      </c>
      <c r="K536" s="3">
        <v>1</v>
      </c>
      <c r="L536" s="3">
        <v>1</v>
      </c>
      <c r="M536" s="3">
        <v>1</v>
      </c>
      <c r="N536" s="3">
        <v>0</v>
      </c>
      <c r="O536" s="3">
        <v>1</v>
      </c>
      <c r="P536" s="9" t="str">
        <f>BIN2HEX(""&amp;H536&amp;I536&amp;J536&amp;K536&amp;L536&amp;M536&amp;N536&amp;O536,2)</f>
        <v>DD</v>
      </c>
      <c r="Q536" s="2">
        <v>5</v>
      </c>
      <c r="R536" s="2" t="s">
        <v>535</v>
      </c>
      <c r="S536" s="2" t="s">
        <v>528</v>
      </c>
      <c r="T536" s="2" t="s">
        <v>536</v>
      </c>
      <c r="U536" s="14" t="s">
        <v>60</v>
      </c>
    </row>
    <row r="537" spans="1:21">
      <c r="G537" s="2">
        <v>1</v>
      </c>
      <c r="H537" s="3">
        <v>1</v>
      </c>
      <c r="I537" s="3">
        <v>1</v>
      </c>
      <c r="J537" s="3">
        <v>0</v>
      </c>
      <c r="K537" s="3">
        <v>0</v>
      </c>
      <c r="L537" s="3">
        <v>1</v>
      </c>
      <c r="M537" s="3">
        <v>0</v>
      </c>
      <c r="N537" s="3">
        <v>1</v>
      </c>
      <c r="O537" s="3">
        <v>1</v>
      </c>
      <c r="P537" s="9" t="str">
        <f>BIN2HEX(""&amp;H537&amp;I537&amp;J537&amp;K537&amp;L537&amp;M537&amp;N537&amp;O537,2)</f>
        <v>CB</v>
      </c>
    </row>
    <row r="538" spans="1:21">
      <c r="G538" s="2">
        <v>2</v>
      </c>
      <c r="H538" s="3" t="s">
        <v>64</v>
      </c>
      <c r="I538" s="3" t="s">
        <v>64</v>
      </c>
      <c r="J538" s="3" t="s">
        <v>64</v>
      </c>
      <c r="K538" s="3" t="s">
        <v>64</v>
      </c>
      <c r="L538" s="3" t="s">
        <v>64</v>
      </c>
      <c r="M538" s="3" t="s">
        <v>64</v>
      </c>
      <c r="N538" s="3" t="s">
        <v>64</v>
      </c>
      <c r="O538" s="3" t="s">
        <v>64</v>
      </c>
      <c r="P538" s="9"/>
    </row>
    <row r="539" spans="1:21">
      <c r="G539" s="2">
        <v>3</v>
      </c>
      <c r="H539" s="3">
        <v>0</v>
      </c>
      <c r="I539" s="3">
        <v>1</v>
      </c>
      <c r="J539" s="3" t="s">
        <v>530</v>
      </c>
      <c r="K539" s="3" t="s">
        <v>530</v>
      </c>
      <c r="L539" s="3" t="s">
        <v>530</v>
      </c>
      <c r="M539" s="3">
        <v>1</v>
      </c>
      <c r="N539" s="3">
        <v>1</v>
      </c>
      <c r="O539" s="3">
        <v>0</v>
      </c>
      <c r="P539" s="9"/>
    </row>
    <row r="540" spans="1:21">
      <c r="P540" s="9"/>
    </row>
    <row r="541" spans="1:21">
      <c r="A541" s="2" t="s">
        <v>524</v>
      </c>
      <c r="B541" s="2" t="s">
        <v>537</v>
      </c>
      <c r="C541" s="2" t="s">
        <v>526</v>
      </c>
      <c r="D541" s="2" t="s">
        <v>66</v>
      </c>
      <c r="E541" s="2" t="s">
        <v>527</v>
      </c>
      <c r="F541" s="2" t="s">
        <v>45</v>
      </c>
      <c r="G541" s="2">
        <v>0</v>
      </c>
      <c r="H541" s="3">
        <v>1</v>
      </c>
      <c r="I541" s="3">
        <v>1</v>
      </c>
      <c r="J541" s="13">
        <v>1</v>
      </c>
      <c r="K541" s="3">
        <v>1</v>
      </c>
      <c r="L541" s="3">
        <v>1</v>
      </c>
      <c r="M541" s="3">
        <v>1</v>
      </c>
      <c r="N541" s="3">
        <v>0</v>
      </c>
      <c r="O541" s="3">
        <v>1</v>
      </c>
      <c r="P541" s="9" t="str">
        <f>BIN2HEX(""&amp;H541&amp;I541&amp;J541&amp;K541&amp;L541&amp;M541&amp;N541&amp;O541,2)</f>
        <v>FD</v>
      </c>
      <c r="Q541" s="2">
        <v>5</v>
      </c>
      <c r="R541" s="2" t="s">
        <v>535</v>
      </c>
      <c r="S541" s="2" t="s">
        <v>528</v>
      </c>
      <c r="T541" s="2" t="s">
        <v>538</v>
      </c>
    </row>
    <row r="542" spans="1:21">
      <c r="G542" s="2">
        <v>1</v>
      </c>
      <c r="H542" s="3">
        <v>1</v>
      </c>
      <c r="I542" s="3">
        <v>1</v>
      </c>
      <c r="J542" s="3">
        <v>0</v>
      </c>
      <c r="K542" s="3">
        <v>0</v>
      </c>
      <c r="L542" s="3">
        <v>1</v>
      </c>
      <c r="M542" s="3">
        <v>0</v>
      </c>
      <c r="N542" s="3">
        <v>1</v>
      </c>
      <c r="O542" s="3">
        <v>1</v>
      </c>
      <c r="P542" s="9" t="str">
        <f>BIN2HEX(""&amp;H542&amp;I542&amp;J542&amp;K542&amp;L542&amp;M542&amp;N542&amp;O542,2)</f>
        <v>CB</v>
      </c>
    </row>
    <row r="543" spans="1:21">
      <c r="G543" s="2">
        <v>2</v>
      </c>
      <c r="H543" s="3" t="s">
        <v>64</v>
      </c>
      <c r="I543" s="3" t="s">
        <v>64</v>
      </c>
      <c r="J543" s="3" t="s">
        <v>64</v>
      </c>
      <c r="K543" s="3" t="s">
        <v>64</v>
      </c>
      <c r="L543" s="3" t="s">
        <v>64</v>
      </c>
      <c r="M543" s="3" t="s">
        <v>64</v>
      </c>
      <c r="N543" s="3" t="s">
        <v>64</v>
      </c>
      <c r="O543" s="3" t="s">
        <v>64</v>
      </c>
      <c r="P543" s="9"/>
    </row>
    <row r="544" spans="1:21">
      <c r="G544" s="2">
        <v>3</v>
      </c>
      <c r="H544" s="3">
        <v>0</v>
      </c>
      <c r="I544" s="3">
        <v>1</v>
      </c>
      <c r="J544" s="3" t="s">
        <v>530</v>
      </c>
      <c r="K544" s="3" t="s">
        <v>530</v>
      </c>
      <c r="L544" s="3" t="s">
        <v>530</v>
      </c>
      <c r="M544" s="3">
        <v>1</v>
      </c>
      <c r="N544" s="3">
        <v>1</v>
      </c>
      <c r="O544" s="3">
        <v>0</v>
      </c>
      <c r="P544" s="9"/>
    </row>
    <row r="545" spans="1:21">
      <c r="P545" s="9"/>
    </row>
    <row r="546" spans="1:21">
      <c r="A546" s="2" t="s">
        <v>539</v>
      </c>
      <c r="B546" s="2" t="s">
        <v>540</v>
      </c>
      <c r="C546" s="2" t="s">
        <v>526</v>
      </c>
      <c r="D546" s="2" t="s">
        <v>29</v>
      </c>
      <c r="E546" s="2" t="s">
        <v>527</v>
      </c>
      <c r="F546" s="2" t="s">
        <v>31</v>
      </c>
      <c r="G546" s="2">
        <v>0</v>
      </c>
      <c r="H546" s="3">
        <v>1</v>
      </c>
      <c r="I546" s="3">
        <v>1</v>
      </c>
      <c r="J546" s="3">
        <v>0</v>
      </c>
      <c r="K546" s="3">
        <v>0</v>
      </c>
      <c r="L546" s="3">
        <v>1</v>
      </c>
      <c r="M546" s="3">
        <v>0</v>
      </c>
      <c r="N546" s="3">
        <v>1</v>
      </c>
      <c r="O546" s="3">
        <v>1</v>
      </c>
      <c r="P546" s="9" t="str">
        <f>BIN2HEX(""&amp;H546&amp;I546&amp;J546&amp;K546&amp;L546&amp;M546&amp;N546&amp;O546,2)</f>
        <v>CB</v>
      </c>
      <c r="Q546" s="2">
        <v>2</v>
      </c>
      <c r="R546" s="2" t="s">
        <v>391</v>
      </c>
      <c r="S546" s="2" t="s">
        <v>528</v>
      </c>
      <c r="T546" s="2" t="s">
        <v>541</v>
      </c>
      <c r="U546" s="29" t="s">
        <v>542</v>
      </c>
    </row>
    <row r="547" spans="1:21">
      <c r="G547" s="2">
        <v>1</v>
      </c>
      <c r="H547" s="28">
        <v>1</v>
      </c>
      <c r="I547" s="3">
        <v>1</v>
      </c>
      <c r="J547" s="3" t="s">
        <v>530</v>
      </c>
      <c r="K547" s="3" t="s">
        <v>530</v>
      </c>
      <c r="L547" s="3" t="s">
        <v>530</v>
      </c>
      <c r="M547" s="3" t="s">
        <v>32</v>
      </c>
      <c r="N547" s="3" t="s">
        <v>32</v>
      </c>
      <c r="O547" s="3" t="s">
        <v>32</v>
      </c>
      <c r="P547" s="9"/>
    </row>
    <row r="548" spans="1:21">
      <c r="P548" s="9"/>
    </row>
    <row r="549" spans="1:21">
      <c r="A549" s="2" t="s">
        <v>539</v>
      </c>
      <c r="B549" s="2" t="s">
        <v>543</v>
      </c>
      <c r="C549" s="2" t="s">
        <v>526</v>
      </c>
      <c r="D549" s="2" t="s">
        <v>50</v>
      </c>
      <c r="E549" s="2" t="s">
        <v>527</v>
      </c>
      <c r="F549" s="2" t="s">
        <v>51</v>
      </c>
      <c r="G549" s="2">
        <v>0</v>
      </c>
      <c r="H549" s="3">
        <v>1</v>
      </c>
      <c r="I549" s="3">
        <v>1</v>
      </c>
      <c r="J549" s="3">
        <v>0</v>
      </c>
      <c r="K549" s="3">
        <v>0</v>
      </c>
      <c r="L549" s="3">
        <v>1</v>
      </c>
      <c r="M549" s="3">
        <v>0</v>
      </c>
      <c r="N549" s="3">
        <v>1</v>
      </c>
      <c r="O549" s="3">
        <v>1</v>
      </c>
      <c r="P549" s="9" t="str">
        <f>BIN2HEX(""&amp;H549&amp;I549&amp;J549&amp;K549&amp;L549&amp;M549&amp;N549&amp;O549,2)</f>
        <v>CB</v>
      </c>
      <c r="Q549" s="2">
        <v>4</v>
      </c>
      <c r="R549" s="2" t="s">
        <v>424</v>
      </c>
      <c r="S549" s="2" t="s">
        <v>528</v>
      </c>
      <c r="T549" s="2" t="s">
        <v>544</v>
      </c>
    </row>
    <row r="550" spans="1:21">
      <c r="G550" s="2">
        <v>1</v>
      </c>
      <c r="H550" s="28">
        <v>1</v>
      </c>
      <c r="I550" s="3">
        <v>1</v>
      </c>
      <c r="J550" s="3" t="s">
        <v>530</v>
      </c>
      <c r="K550" s="3" t="s">
        <v>530</v>
      </c>
      <c r="L550" s="3" t="s">
        <v>530</v>
      </c>
      <c r="M550" s="11">
        <v>1</v>
      </c>
      <c r="N550" s="11">
        <v>1</v>
      </c>
      <c r="O550" s="11">
        <v>0</v>
      </c>
      <c r="P550" s="9"/>
      <c r="U550" s="12" t="s">
        <v>53</v>
      </c>
    </row>
    <row r="551" spans="1:21">
      <c r="P551" s="9"/>
    </row>
    <row r="552" spans="1:21">
      <c r="A552" s="2" t="s">
        <v>539</v>
      </c>
      <c r="B552" s="2" t="s">
        <v>545</v>
      </c>
      <c r="C552" s="2" t="s">
        <v>526</v>
      </c>
      <c r="D552" s="2" t="s">
        <v>57</v>
      </c>
      <c r="E552" s="2" t="s">
        <v>527</v>
      </c>
      <c r="F552" s="2" t="s">
        <v>45</v>
      </c>
      <c r="G552" s="2">
        <v>0</v>
      </c>
      <c r="H552" s="3">
        <v>1</v>
      </c>
      <c r="I552" s="3">
        <v>1</v>
      </c>
      <c r="J552" s="13">
        <v>0</v>
      </c>
      <c r="K552" s="3">
        <v>1</v>
      </c>
      <c r="L552" s="3">
        <v>1</v>
      </c>
      <c r="M552" s="3">
        <v>1</v>
      </c>
      <c r="N552" s="3">
        <v>0</v>
      </c>
      <c r="O552" s="3">
        <v>1</v>
      </c>
      <c r="P552" s="9" t="str">
        <f>BIN2HEX(""&amp;H552&amp;I552&amp;J552&amp;K552&amp;L552&amp;M552&amp;N552&amp;O552,2)</f>
        <v>DD</v>
      </c>
      <c r="Q552" s="2">
        <v>6</v>
      </c>
      <c r="R552" s="2" t="s">
        <v>458</v>
      </c>
      <c r="S552" s="2" t="s">
        <v>528</v>
      </c>
      <c r="T552" s="2" t="s">
        <v>546</v>
      </c>
      <c r="U552" s="14" t="s">
        <v>547</v>
      </c>
    </row>
    <row r="553" spans="1:21">
      <c r="G553" s="2">
        <v>1</v>
      </c>
      <c r="H553" s="3">
        <v>1</v>
      </c>
      <c r="I553" s="3">
        <v>1</v>
      </c>
      <c r="J553" s="3">
        <v>0</v>
      </c>
      <c r="K553" s="3">
        <v>0</v>
      </c>
      <c r="L553" s="3">
        <v>1</v>
      </c>
      <c r="M553" s="3">
        <v>0</v>
      </c>
      <c r="N553" s="3">
        <v>1</v>
      </c>
      <c r="O553" s="3">
        <v>1</v>
      </c>
      <c r="P553" s="9" t="str">
        <f>BIN2HEX(""&amp;H553&amp;I553&amp;J553&amp;K553&amp;L553&amp;M553&amp;N553&amp;O553,2)</f>
        <v>CB</v>
      </c>
    </row>
    <row r="554" spans="1:21">
      <c r="G554" s="2">
        <v>2</v>
      </c>
      <c r="H554" s="3" t="s">
        <v>64</v>
      </c>
      <c r="I554" s="3" t="s">
        <v>64</v>
      </c>
      <c r="J554" s="3" t="s">
        <v>64</v>
      </c>
      <c r="K554" s="3" t="s">
        <v>64</v>
      </c>
      <c r="L554" s="3" t="s">
        <v>64</v>
      </c>
      <c r="M554" s="3" t="s">
        <v>64</v>
      </c>
      <c r="N554" s="3" t="s">
        <v>64</v>
      </c>
      <c r="O554" s="3" t="s">
        <v>64</v>
      </c>
      <c r="P554" s="9"/>
    </row>
    <row r="555" spans="1:21">
      <c r="G555" s="2">
        <v>3</v>
      </c>
      <c r="H555" s="28">
        <v>1</v>
      </c>
      <c r="I555" s="3">
        <v>1</v>
      </c>
      <c r="J555" s="3" t="s">
        <v>530</v>
      </c>
      <c r="K555" s="3" t="s">
        <v>530</v>
      </c>
      <c r="L555" s="3" t="s">
        <v>530</v>
      </c>
      <c r="M555" s="3">
        <v>1</v>
      </c>
      <c r="N555" s="3">
        <v>1</v>
      </c>
      <c r="O555" s="3">
        <v>0</v>
      </c>
      <c r="P555" s="9"/>
    </row>
    <row r="556" spans="1:21">
      <c r="P556" s="9"/>
    </row>
    <row r="557" spans="1:21">
      <c r="A557" s="2" t="s">
        <v>539</v>
      </c>
      <c r="B557" s="2" t="s">
        <v>548</v>
      </c>
      <c r="C557" s="2" t="s">
        <v>526</v>
      </c>
      <c r="D557" s="2" t="s">
        <v>66</v>
      </c>
      <c r="E557" s="2" t="s">
        <v>527</v>
      </c>
      <c r="F557" s="2" t="s">
        <v>45</v>
      </c>
      <c r="G557" s="2">
        <v>0</v>
      </c>
      <c r="H557" s="3">
        <v>1</v>
      </c>
      <c r="I557" s="3">
        <v>1</v>
      </c>
      <c r="J557" s="13">
        <v>1</v>
      </c>
      <c r="K557" s="3">
        <v>1</v>
      </c>
      <c r="L557" s="3">
        <v>1</v>
      </c>
      <c r="M557" s="3">
        <v>1</v>
      </c>
      <c r="N557" s="3">
        <v>0</v>
      </c>
      <c r="O557" s="3">
        <v>1</v>
      </c>
      <c r="P557" s="9" t="str">
        <f>BIN2HEX(""&amp;H557&amp;I557&amp;J557&amp;K557&amp;L557&amp;M557&amp;N557&amp;O557,2)</f>
        <v>FD</v>
      </c>
      <c r="Q557" s="2">
        <v>6</v>
      </c>
      <c r="R557" s="2" t="s">
        <v>458</v>
      </c>
      <c r="S557" s="2" t="s">
        <v>528</v>
      </c>
      <c r="T557" s="2" t="s">
        <v>549</v>
      </c>
    </row>
    <row r="558" spans="1:21">
      <c r="G558" s="2">
        <v>1</v>
      </c>
      <c r="H558" s="3">
        <v>1</v>
      </c>
      <c r="I558" s="3">
        <v>1</v>
      </c>
      <c r="J558" s="3">
        <v>0</v>
      </c>
      <c r="K558" s="3">
        <v>0</v>
      </c>
      <c r="L558" s="3">
        <v>1</v>
      </c>
      <c r="M558" s="3">
        <v>0</v>
      </c>
      <c r="N558" s="3">
        <v>1</v>
      </c>
      <c r="O558" s="3">
        <v>1</v>
      </c>
      <c r="P558" s="9" t="str">
        <f>BIN2HEX(""&amp;H558&amp;I558&amp;J558&amp;K558&amp;L558&amp;M558&amp;N558&amp;O558,2)</f>
        <v>CB</v>
      </c>
    </row>
    <row r="559" spans="1:21">
      <c r="G559" s="2">
        <v>2</v>
      </c>
      <c r="H559" s="3" t="s">
        <v>64</v>
      </c>
      <c r="I559" s="3" t="s">
        <v>64</v>
      </c>
      <c r="J559" s="3" t="s">
        <v>64</v>
      </c>
      <c r="K559" s="3" t="s">
        <v>64</v>
      </c>
      <c r="L559" s="3" t="s">
        <v>64</v>
      </c>
      <c r="M559" s="3" t="s">
        <v>64</v>
      </c>
      <c r="N559" s="3" t="s">
        <v>64</v>
      </c>
      <c r="O559" s="3" t="s">
        <v>64</v>
      </c>
      <c r="P559" s="9"/>
    </row>
    <row r="560" spans="1:21">
      <c r="G560" s="2">
        <v>3</v>
      </c>
      <c r="H560" s="28">
        <v>1</v>
      </c>
      <c r="I560" s="3">
        <v>1</v>
      </c>
      <c r="J560" s="3" t="s">
        <v>530</v>
      </c>
      <c r="K560" s="3" t="s">
        <v>530</v>
      </c>
      <c r="L560" s="3" t="s">
        <v>530</v>
      </c>
      <c r="M560" s="3">
        <v>1</v>
      </c>
      <c r="N560" s="3">
        <v>1</v>
      </c>
      <c r="O560" s="3">
        <v>0</v>
      </c>
      <c r="P560" s="9"/>
    </row>
    <row r="562" spans="1:21">
      <c r="A562" s="2" t="s">
        <v>550</v>
      </c>
      <c r="B562" s="2" t="s">
        <v>551</v>
      </c>
      <c r="C562" s="2" t="s">
        <v>526</v>
      </c>
      <c r="D562" s="2" t="s">
        <v>29</v>
      </c>
      <c r="E562" s="2" t="s">
        <v>527</v>
      </c>
      <c r="F562" s="2" t="s">
        <v>31</v>
      </c>
      <c r="G562" s="2">
        <v>0</v>
      </c>
      <c r="H562" s="3">
        <v>1</v>
      </c>
      <c r="I562" s="3">
        <v>1</v>
      </c>
      <c r="J562" s="3">
        <v>0</v>
      </c>
      <c r="K562" s="3">
        <v>0</v>
      </c>
      <c r="L562" s="3">
        <v>1</v>
      </c>
      <c r="M562" s="3">
        <v>0</v>
      </c>
      <c r="N562" s="3">
        <v>1</v>
      </c>
      <c r="O562" s="3">
        <v>1</v>
      </c>
      <c r="P562" s="9" t="str">
        <f>BIN2HEX(""&amp;H562&amp;I562&amp;J562&amp;K562&amp;L562&amp;M562&amp;N562&amp;O562,2)</f>
        <v>CB</v>
      </c>
      <c r="Q562" s="2">
        <v>2</v>
      </c>
      <c r="R562" s="2" t="s">
        <v>391</v>
      </c>
      <c r="S562" s="2" t="s">
        <v>528</v>
      </c>
      <c r="T562" s="2" t="s">
        <v>552</v>
      </c>
      <c r="U562" s="29" t="s">
        <v>542</v>
      </c>
    </row>
    <row r="563" spans="1:21">
      <c r="G563" s="2">
        <v>1</v>
      </c>
      <c r="H563" s="28">
        <v>1</v>
      </c>
      <c r="I563" s="28">
        <v>0</v>
      </c>
      <c r="J563" s="3" t="s">
        <v>530</v>
      </c>
      <c r="K563" s="3" t="s">
        <v>530</v>
      </c>
      <c r="L563" s="3" t="s">
        <v>530</v>
      </c>
      <c r="M563" s="3" t="s">
        <v>32</v>
      </c>
      <c r="N563" s="3" t="s">
        <v>32</v>
      </c>
      <c r="O563" s="3" t="s">
        <v>32</v>
      </c>
      <c r="P563" s="9"/>
    </row>
    <row r="564" spans="1:21">
      <c r="P564" s="9"/>
    </row>
    <row r="565" spans="1:21">
      <c r="A565" s="2" t="s">
        <v>550</v>
      </c>
      <c r="B565" s="2" t="s">
        <v>553</v>
      </c>
      <c r="C565" s="2" t="s">
        <v>526</v>
      </c>
      <c r="D565" s="2" t="s">
        <v>50</v>
      </c>
      <c r="E565" s="2" t="s">
        <v>527</v>
      </c>
      <c r="F565" s="2" t="s">
        <v>51</v>
      </c>
      <c r="G565" s="2">
        <v>0</v>
      </c>
      <c r="H565" s="3">
        <v>1</v>
      </c>
      <c r="I565" s="3">
        <v>1</v>
      </c>
      <c r="J565" s="3">
        <v>0</v>
      </c>
      <c r="K565" s="3">
        <v>0</v>
      </c>
      <c r="L565" s="3">
        <v>1</v>
      </c>
      <c r="M565" s="3">
        <v>0</v>
      </c>
      <c r="N565" s="3">
        <v>1</v>
      </c>
      <c r="O565" s="3">
        <v>1</v>
      </c>
      <c r="P565" s="9" t="str">
        <f>BIN2HEX(""&amp;H565&amp;I565&amp;J565&amp;K565&amp;L565&amp;M565&amp;N565&amp;O565,2)</f>
        <v>CB</v>
      </c>
      <c r="Q565" s="2">
        <v>4</v>
      </c>
      <c r="R565" s="2" t="s">
        <v>424</v>
      </c>
      <c r="S565" s="2" t="s">
        <v>528</v>
      </c>
      <c r="T565" s="2" t="s">
        <v>554</v>
      </c>
    </row>
    <row r="566" spans="1:21">
      <c r="G566" s="2">
        <v>1</v>
      </c>
      <c r="H566" s="28">
        <v>1</v>
      </c>
      <c r="I566" s="28">
        <v>0</v>
      </c>
      <c r="J566" s="3" t="s">
        <v>530</v>
      </c>
      <c r="K566" s="3" t="s">
        <v>530</v>
      </c>
      <c r="L566" s="3" t="s">
        <v>530</v>
      </c>
      <c r="M566" s="11">
        <v>1</v>
      </c>
      <c r="N566" s="11">
        <v>1</v>
      </c>
      <c r="O566" s="11">
        <v>0</v>
      </c>
      <c r="P566" s="9"/>
      <c r="U566" s="12" t="s">
        <v>53</v>
      </c>
    </row>
    <row r="567" spans="1:21">
      <c r="P567" s="9"/>
    </row>
    <row r="568" spans="1:21">
      <c r="A568" s="2" t="s">
        <v>550</v>
      </c>
      <c r="B568" s="2" t="s">
        <v>555</v>
      </c>
      <c r="C568" s="2" t="s">
        <v>526</v>
      </c>
      <c r="D568" s="2" t="s">
        <v>57</v>
      </c>
      <c r="E568" s="2" t="s">
        <v>527</v>
      </c>
      <c r="F568" s="2" t="s">
        <v>45</v>
      </c>
      <c r="G568" s="2">
        <v>0</v>
      </c>
      <c r="H568" s="3">
        <v>1</v>
      </c>
      <c r="I568" s="3">
        <v>1</v>
      </c>
      <c r="J568" s="13">
        <v>0</v>
      </c>
      <c r="K568" s="3">
        <v>1</v>
      </c>
      <c r="L568" s="3">
        <v>1</v>
      </c>
      <c r="M568" s="3">
        <v>1</v>
      </c>
      <c r="N568" s="3">
        <v>0</v>
      </c>
      <c r="O568" s="3">
        <v>1</v>
      </c>
      <c r="P568" s="9" t="str">
        <f>BIN2HEX(""&amp;H568&amp;I568&amp;J568&amp;K568&amp;L568&amp;M568&amp;N568&amp;O568,2)</f>
        <v>DD</v>
      </c>
      <c r="Q568" s="2">
        <v>6</v>
      </c>
      <c r="R568" s="2" t="s">
        <v>458</v>
      </c>
      <c r="S568" s="2" t="s">
        <v>528</v>
      </c>
      <c r="T568" s="2" t="s">
        <v>556</v>
      </c>
      <c r="U568" s="14" t="s">
        <v>557</v>
      </c>
    </row>
    <row r="569" spans="1:21">
      <c r="G569" s="2">
        <v>1</v>
      </c>
      <c r="H569" s="3">
        <v>1</v>
      </c>
      <c r="I569" s="3">
        <v>1</v>
      </c>
      <c r="J569" s="3">
        <v>0</v>
      </c>
      <c r="K569" s="3">
        <v>0</v>
      </c>
      <c r="L569" s="3">
        <v>1</v>
      </c>
      <c r="M569" s="3">
        <v>0</v>
      </c>
      <c r="N569" s="3">
        <v>1</v>
      </c>
      <c r="O569" s="3">
        <v>1</v>
      </c>
      <c r="P569" s="9" t="str">
        <f>BIN2HEX(""&amp;H569&amp;I569&amp;J569&amp;K569&amp;L569&amp;M569&amp;N569&amp;O569,2)</f>
        <v>CB</v>
      </c>
    </row>
    <row r="570" spans="1:21">
      <c r="G570" s="2">
        <v>2</v>
      </c>
      <c r="H570" s="3" t="s">
        <v>64</v>
      </c>
      <c r="I570" s="3" t="s">
        <v>64</v>
      </c>
      <c r="J570" s="3" t="s">
        <v>64</v>
      </c>
      <c r="K570" s="3" t="s">
        <v>64</v>
      </c>
      <c r="L570" s="3" t="s">
        <v>64</v>
      </c>
      <c r="M570" s="3" t="s">
        <v>64</v>
      </c>
      <c r="N570" s="3" t="s">
        <v>64</v>
      </c>
      <c r="O570" s="3" t="s">
        <v>64</v>
      </c>
      <c r="P570" s="9"/>
    </row>
    <row r="571" spans="1:21">
      <c r="G571" s="2">
        <v>3</v>
      </c>
      <c r="H571" s="28">
        <v>1</v>
      </c>
      <c r="I571" s="28">
        <v>0</v>
      </c>
      <c r="J571" s="3" t="s">
        <v>530</v>
      </c>
      <c r="K571" s="3" t="s">
        <v>530</v>
      </c>
      <c r="L571" s="3" t="s">
        <v>530</v>
      </c>
      <c r="M571" s="3">
        <v>1</v>
      </c>
      <c r="N571" s="3">
        <v>1</v>
      </c>
      <c r="O571" s="3">
        <v>0</v>
      </c>
      <c r="P571" s="9"/>
    </row>
    <row r="572" spans="1:21">
      <c r="P572" s="9"/>
    </row>
    <row r="573" spans="1:21">
      <c r="A573" s="2" t="s">
        <v>550</v>
      </c>
      <c r="B573" s="2" t="s">
        <v>558</v>
      </c>
      <c r="C573" s="2" t="s">
        <v>526</v>
      </c>
      <c r="D573" s="2" t="s">
        <v>66</v>
      </c>
      <c r="E573" s="2" t="s">
        <v>527</v>
      </c>
      <c r="F573" s="2" t="s">
        <v>45</v>
      </c>
      <c r="G573" s="2">
        <v>0</v>
      </c>
      <c r="H573" s="3">
        <v>1</v>
      </c>
      <c r="I573" s="3">
        <v>1</v>
      </c>
      <c r="J573" s="13">
        <v>1</v>
      </c>
      <c r="K573" s="3">
        <v>1</v>
      </c>
      <c r="L573" s="3">
        <v>1</v>
      </c>
      <c r="M573" s="3">
        <v>1</v>
      </c>
      <c r="N573" s="3">
        <v>0</v>
      </c>
      <c r="O573" s="3">
        <v>1</v>
      </c>
      <c r="P573" s="9" t="str">
        <f>BIN2HEX(""&amp;H573&amp;I573&amp;J573&amp;K573&amp;L573&amp;M573&amp;N573&amp;O573,2)</f>
        <v>FD</v>
      </c>
      <c r="Q573" s="2">
        <v>6</v>
      </c>
      <c r="R573" s="2" t="s">
        <v>458</v>
      </c>
      <c r="S573" s="2" t="s">
        <v>528</v>
      </c>
      <c r="T573" s="2" t="s">
        <v>559</v>
      </c>
    </row>
    <row r="574" spans="1:21">
      <c r="G574" s="2">
        <v>1</v>
      </c>
      <c r="H574" s="3">
        <v>1</v>
      </c>
      <c r="I574" s="3">
        <v>1</v>
      </c>
      <c r="J574" s="3">
        <v>0</v>
      </c>
      <c r="K574" s="3">
        <v>0</v>
      </c>
      <c r="L574" s="3">
        <v>1</v>
      </c>
      <c r="M574" s="3">
        <v>0</v>
      </c>
      <c r="N574" s="3">
        <v>1</v>
      </c>
      <c r="O574" s="3">
        <v>1</v>
      </c>
      <c r="P574" s="9" t="str">
        <f>BIN2HEX(""&amp;H574&amp;I574&amp;J574&amp;K574&amp;L574&amp;M574&amp;N574&amp;O574,2)</f>
        <v>CB</v>
      </c>
    </row>
    <row r="575" spans="1:21">
      <c r="G575" s="2">
        <v>2</v>
      </c>
      <c r="H575" s="3" t="s">
        <v>64</v>
      </c>
      <c r="I575" s="3" t="s">
        <v>64</v>
      </c>
      <c r="J575" s="3" t="s">
        <v>64</v>
      </c>
      <c r="K575" s="3" t="s">
        <v>64</v>
      </c>
      <c r="L575" s="3" t="s">
        <v>64</v>
      </c>
      <c r="M575" s="3" t="s">
        <v>64</v>
      </c>
      <c r="N575" s="3" t="s">
        <v>64</v>
      </c>
      <c r="O575" s="3" t="s">
        <v>64</v>
      </c>
      <c r="P575" s="9"/>
    </row>
    <row r="576" spans="1:21">
      <c r="G576" s="2">
        <v>3</v>
      </c>
      <c r="H576" s="28">
        <v>1</v>
      </c>
      <c r="I576" s="28">
        <v>0</v>
      </c>
      <c r="J576" s="3" t="s">
        <v>530</v>
      </c>
      <c r="K576" s="3" t="s">
        <v>530</v>
      </c>
      <c r="L576" s="3" t="s">
        <v>530</v>
      </c>
      <c r="M576" s="3">
        <v>1</v>
      </c>
      <c r="N576" s="3">
        <v>1</v>
      </c>
      <c r="O576" s="3">
        <v>0</v>
      </c>
      <c r="P576" s="9"/>
    </row>
    <row r="578" spans="1:21">
      <c r="A578" s="2" t="s">
        <v>560</v>
      </c>
      <c r="B578" s="2" t="s">
        <v>561</v>
      </c>
      <c r="C578" s="2" t="s">
        <v>138</v>
      </c>
      <c r="E578" s="2" t="s">
        <v>562</v>
      </c>
      <c r="G578" s="2">
        <v>0</v>
      </c>
      <c r="H578" s="3">
        <v>1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>
        <v>1</v>
      </c>
      <c r="O578" s="3">
        <v>1</v>
      </c>
      <c r="P578" s="9" t="str">
        <f>BIN2HEX(""&amp;H578&amp;I578&amp;J578&amp;K578&amp;L578&amp;M578&amp;N578&amp;O578,2)</f>
        <v>C3</v>
      </c>
      <c r="Q578" s="2">
        <v>3</v>
      </c>
      <c r="R578" s="2" t="s">
        <v>81</v>
      </c>
      <c r="T578" s="2" t="s">
        <v>563</v>
      </c>
    </row>
    <row r="579" spans="1:21">
      <c r="G579" s="2">
        <v>1</v>
      </c>
      <c r="H579" s="3" t="s">
        <v>48</v>
      </c>
      <c r="I579" s="3" t="s">
        <v>48</v>
      </c>
      <c r="J579" s="3" t="s">
        <v>48</v>
      </c>
      <c r="K579" s="3" t="s">
        <v>48</v>
      </c>
      <c r="L579" s="3" t="s">
        <v>48</v>
      </c>
      <c r="M579" s="3" t="s">
        <v>48</v>
      </c>
      <c r="N579" s="3" t="s">
        <v>48</v>
      </c>
      <c r="O579" s="3" t="s">
        <v>48</v>
      </c>
      <c r="U579" s="2" t="s">
        <v>564</v>
      </c>
    </row>
    <row r="580" spans="1:21">
      <c r="G580" s="2">
        <v>2</v>
      </c>
      <c r="H580" s="3" t="s">
        <v>48</v>
      </c>
      <c r="I580" s="3" t="s">
        <v>48</v>
      </c>
      <c r="J580" s="3" t="s">
        <v>48</v>
      </c>
      <c r="K580" s="3" t="s">
        <v>48</v>
      </c>
      <c r="L580" s="3" t="s">
        <v>48</v>
      </c>
      <c r="M580" s="3" t="s">
        <v>48</v>
      </c>
      <c r="N580" s="3" t="s">
        <v>48</v>
      </c>
      <c r="O580" s="3" t="s">
        <v>48</v>
      </c>
      <c r="U580" s="2" t="s">
        <v>565</v>
      </c>
    </row>
    <row r="582" spans="1:21">
      <c r="A582" s="2" t="s">
        <v>560</v>
      </c>
      <c r="B582" s="2" t="s">
        <v>566</v>
      </c>
      <c r="C582" s="2" t="s">
        <v>567</v>
      </c>
      <c r="D582" s="2" t="s">
        <v>138</v>
      </c>
      <c r="E582" s="2" t="s">
        <v>527</v>
      </c>
      <c r="F582" s="2" t="s">
        <v>562</v>
      </c>
      <c r="G582" s="2">
        <v>0</v>
      </c>
      <c r="H582" s="3">
        <v>1</v>
      </c>
      <c r="I582" s="3">
        <v>1</v>
      </c>
      <c r="J582" s="3" t="s">
        <v>568</v>
      </c>
      <c r="K582" s="3" t="s">
        <v>568</v>
      </c>
      <c r="L582" s="3" t="s">
        <v>568</v>
      </c>
      <c r="M582" s="3">
        <v>0</v>
      </c>
      <c r="N582" s="3">
        <v>1</v>
      </c>
      <c r="O582" s="3">
        <v>0</v>
      </c>
      <c r="P582" s="9"/>
      <c r="Q582" s="2">
        <v>3</v>
      </c>
      <c r="R582" s="2" t="s">
        <v>81</v>
      </c>
      <c r="T582" s="2" t="s">
        <v>569</v>
      </c>
    </row>
    <row r="583" spans="1:21">
      <c r="G583" s="2">
        <v>1</v>
      </c>
      <c r="H583" s="3" t="s">
        <v>48</v>
      </c>
      <c r="I583" s="3" t="s">
        <v>48</v>
      </c>
      <c r="J583" s="3" t="s">
        <v>48</v>
      </c>
      <c r="K583" s="3" t="s">
        <v>48</v>
      </c>
      <c r="L583" s="3" t="s">
        <v>48</v>
      </c>
      <c r="M583" s="3" t="s">
        <v>48</v>
      </c>
      <c r="N583" s="3" t="s">
        <v>48</v>
      </c>
      <c r="O583" s="3" t="s">
        <v>48</v>
      </c>
    </row>
    <row r="584" spans="1:21">
      <c r="G584" s="2">
        <v>2</v>
      </c>
      <c r="H584" s="3" t="s">
        <v>48</v>
      </c>
      <c r="I584" s="3" t="s">
        <v>48</v>
      </c>
      <c r="J584" s="3" t="s">
        <v>48</v>
      </c>
      <c r="K584" s="3" t="s">
        <v>48</v>
      </c>
      <c r="L584" s="3" t="s">
        <v>48</v>
      </c>
      <c r="M584" s="3" t="s">
        <v>48</v>
      </c>
      <c r="N584" s="3" t="s">
        <v>48</v>
      </c>
      <c r="O584" s="3" t="s">
        <v>48</v>
      </c>
    </row>
    <row r="586" spans="1:21">
      <c r="A586" s="2" t="s">
        <v>570</v>
      </c>
      <c r="B586" s="2" t="s">
        <v>571</v>
      </c>
      <c r="C586" s="2" t="s">
        <v>572</v>
      </c>
      <c r="E586" s="2" t="s">
        <v>573</v>
      </c>
      <c r="G586" s="2">
        <v>0</v>
      </c>
      <c r="H586" s="3">
        <v>0</v>
      </c>
      <c r="I586" s="3">
        <v>0</v>
      </c>
      <c r="J586" s="3">
        <v>0</v>
      </c>
      <c r="K586" s="3">
        <v>1</v>
      </c>
      <c r="L586" s="3">
        <v>1</v>
      </c>
      <c r="M586" s="3">
        <v>0</v>
      </c>
      <c r="N586" s="3">
        <v>0</v>
      </c>
      <c r="O586" s="3">
        <v>0</v>
      </c>
      <c r="P586" s="9" t="str">
        <f>BIN2HEX(""&amp;H586&amp;I586&amp;J586&amp;K586&amp;L586&amp;M586&amp;N586&amp;O586,2)</f>
        <v>18</v>
      </c>
      <c r="Q586" s="2">
        <v>3</v>
      </c>
      <c r="R586" s="2" t="s">
        <v>574</v>
      </c>
      <c r="T586" s="2" t="s">
        <v>575</v>
      </c>
    </row>
    <row r="587" spans="1:21">
      <c r="G587" s="2">
        <v>1</v>
      </c>
      <c r="H587" s="3" t="s">
        <v>576</v>
      </c>
      <c r="I587" s="3" t="s">
        <v>576</v>
      </c>
      <c r="J587" s="3" t="s">
        <v>576</v>
      </c>
      <c r="K587" s="3" t="s">
        <v>576</v>
      </c>
      <c r="L587" s="3" t="s">
        <v>576</v>
      </c>
      <c r="M587" s="3" t="s">
        <v>576</v>
      </c>
      <c r="N587" s="3" t="s">
        <v>576</v>
      </c>
      <c r="O587" s="3" t="s">
        <v>576</v>
      </c>
      <c r="U587" s="2" t="s">
        <v>577</v>
      </c>
    </row>
    <row r="589" spans="1:21">
      <c r="A589" s="2" t="s">
        <v>570</v>
      </c>
      <c r="B589" s="2" t="s">
        <v>578</v>
      </c>
      <c r="C589" s="2" t="s">
        <v>579</v>
      </c>
      <c r="D589" s="2" t="s">
        <v>572</v>
      </c>
      <c r="E589" s="2" t="s">
        <v>527</v>
      </c>
      <c r="F589" s="2" t="s">
        <v>573</v>
      </c>
      <c r="G589" s="2">
        <v>0</v>
      </c>
      <c r="H589" s="3">
        <v>0</v>
      </c>
      <c r="I589" s="3">
        <v>0</v>
      </c>
      <c r="J589" s="28">
        <v>1</v>
      </c>
      <c r="K589" s="3">
        <v>1</v>
      </c>
      <c r="L589" s="3">
        <v>1</v>
      </c>
      <c r="M589" s="3">
        <v>0</v>
      </c>
      <c r="N589" s="3">
        <v>0</v>
      </c>
      <c r="O589" s="3">
        <v>0</v>
      </c>
      <c r="P589" s="9" t="str">
        <f>BIN2HEX(""&amp;H589&amp;I589&amp;J589&amp;K589&amp;L589&amp;M589&amp;N589&amp;O589,2)</f>
        <v>38</v>
      </c>
      <c r="Q589" s="2">
        <v>3</v>
      </c>
      <c r="R589" s="2" t="s">
        <v>574</v>
      </c>
      <c r="T589" s="2" t="s">
        <v>580</v>
      </c>
      <c r="U589" s="29" t="s">
        <v>581</v>
      </c>
    </row>
    <row r="590" spans="1:21">
      <c r="G590" s="2">
        <v>1</v>
      </c>
      <c r="H590" s="3" t="s">
        <v>576</v>
      </c>
      <c r="I590" s="3" t="s">
        <v>576</v>
      </c>
      <c r="J590" s="3" t="s">
        <v>576</v>
      </c>
      <c r="K590" s="3" t="s">
        <v>576</v>
      </c>
      <c r="L590" s="3" t="s">
        <v>576</v>
      </c>
      <c r="M590" s="3" t="s">
        <v>576</v>
      </c>
      <c r="N590" s="3" t="s">
        <v>576</v>
      </c>
      <c r="O590" s="3" t="s">
        <v>576</v>
      </c>
      <c r="U590" s="2" t="s">
        <v>577</v>
      </c>
    </row>
    <row r="592" spans="1:21">
      <c r="A592" s="2" t="s">
        <v>570</v>
      </c>
      <c r="B592" s="2" t="s">
        <v>582</v>
      </c>
      <c r="C592" s="2" t="s">
        <v>583</v>
      </c>
      <c r="D592" s="2" t="s">
        <v>572</v>
      </c>
      <c r="E592" s="2" t="s">
        <v>527</v>
      </c>
      <c r="F592" s="2" t="s">
        <v>573</v>
      </c>
      <c r="G592" s="2">
        <v>0</v>
      </c>
      <c r="H592" s="3">
        <v>0</v>
      </c>
      <c r="I592" s="3">
        <v>0</v>
      </c>
      <c r="J592" s="28">
        <v>1</v>
      </c>
      <c r="K592" s="3">
        <v>1</v>
      </c>
      <c r="L592" s="28">
        <v>0</v>
      </c>
      <c r="M592" s="3">
        <v>0</v>
      </c>
      <c r="N592" s="3">
        <v>0</v>
      </c>
      <c r="O592" s="3">
        <v>0</v>
      </c>
      <c r="P592" s="9" t="str">
        <f>BIN2HEX(""&amp;H592&amp;I592&amp;J592&amp;K592&amp;L592&amp;M592&amp;N592&amp;O592,2)</f>
        <v>30</v>
      </c>
      <c r="Q592" s="2">
        <v>3</v>
      </c>
      <c r="R592" s="2" t="s">
        <v>574</v>
      </c>
      <c r="T592" s="2" t="s">
        <v>584</v>
      </c>
      <c r="U592" s="29" t="s">
        <v>581</v>
      </c>
    </row>
    <row r="593" spans="1:21">
      <c r="G593" s="2">
        <v>1</v>
      </c>
      <c r="H593" s="3" t="s">
        <v>576</v>
      </c>
      <c r="I593" s="3" t="s">
        <v>576</v>
      </c>
      <c r="J593" s="3" t="s">
        <v>576</v>
      </c>
      <c r="K593" s="3" t="s">
        <v>576</v>
      </c>
      <c r="L593" s="3" t="s">
        <v>576</v>
      </c>
      <c r="M593" s="3" t="s">
        <v>576</v>
      </c>
      <c r="N593" s="3" t="s">
        <v>576</v>
      </c>
      <c r="O593" s="3" t="s">
        <v>576</v>
      </c>
      <c r="U593" s="2" t="s">
        <v>577</v>
      </c>
    </row>
    <row r="595" spans="1:21">
      <c r="A595" s="2" t="s">
        <v>570</v>
      </c>
      <c r="B595" s="2" t="s">
        <v>585</v>
      </c>
      <c r="C595" s="2" t="s">
        <v>586</v>
      </c>
      <c r="D595" s="2" t="s">
        <v>572</v>
      </c>
      <c r="E595" s="2" t="s">
        <v>527</v>
      </c>
      <c r="F595" s="2" t="s">
        <v>573</v>
      </c>
      <c r="G595" s="2">
        <v>0</v>
      </c>
      <c r="H595" s="3">
        <v>0</v>
      </c>
      <c r="I595" s="3">
        <v>0</v>
      </c>
      <c r="J595" s="28">
        <v>1</v>
      </c>
      <c r="K595" s="28">
        <v>0</v>
      </c>
      <c r="L595" s="28">
        <v>1</v>
      </c>
      <c r="M595" s="3">
        <v>0</v>
      </c>
      <c r="N595" s="3">
        <v>0</v>
      </c>
      <c r="O595" s="3">
        <v>0</v>
      </c>
      <c r="P595" s="9" t="str">
        <f>BIN2HEX(""&amp;H595&amp;I595&amp;J595&amp;K595&amp;L595&amp;M595&amp;N595&amp;O595,2)</f>
        <v>28</v>
      </c>
      <c r="Q595" s="2">
        <v>3</v>
      </c>
      <c r="R595" s="2" t="s">
        <v>574</v>
      </c>
      <c r="T595" s="2" t="s">
        <v>587</v>
      </c>
      <c r="U595" s="29" t="s">
        <v>581</v>
      </c>
    </row>
    <row r="596" spans="1:21">
      <c r="G596" s="2">
        <v>1</v>
      </c>
      <c r="H596" s="3" t="s">
        <v>576</v>
      </c>
      <c r="I596" s="3" t="s">
        <v>576</v>
      </c>
      <c r="J596" s="3" t="s">
        <v>576</v>
      </c>
      <c r="K596" s="3" t="s">
        <v>576</v>
      </c>
      <c r="L596" s="3" t="s">
        <v>576</v>
      </c>
      <c r="M596" s="3" t="s">
        <v>576</v>
      </c>
      <c r="N596" s="3" t="s">
        <v>576</v>
      </c>
      <c r="O596" s="3" t="s">
        <v>576</v>
      </c>
      <c r="U596" s="2" t="s">
        <v>577</v>
      </c>
    </row>
    <row r="598" spans="1:21">
      <c r="A598" s="2" t="s">
        <v>570</v>
      </c>
      <c r="B598" s="2" t="s">
        <v>588</v>
      </c>
      <c r="C598" s="2" t="s">
        <v>589</v>
      </c>
      <c r="D598" s="2" t="s">
        <v>572</v>
      </c>
      <c r="E598" s="2" t="s">
        <v>527</v>
      </c>
      <c r="F598" s="2" t="s">
        <v>573</v>
      </c>
      <c r="G598" s="2">
        <v>0</v>
      </c>
      <c r="H598" s="3">
        <v>0</v>
      </c>
      <c r="I598" s="3">
        <v>0</v>
      </c>
      <c r="J598" s="28">
        <v>1</v>
      </c>
      <c r="K598" s="28">
        <v>0</v>
      </c>
      <c r="L598" s="28">
        <v>0</v>
      </c>
      <c r="M598" s="3">
        <v>0</v>
      </c>
      <c r="N598" s="3">
        <v>0</v>
      </c>
      <c r="O598" s="3">
        <v>0</v>
      </c>
      <c r="P598" s="9" t="str">
        <f>BIN2HEX(""&amp;H598&amp;I598&amp;J598&amp;K598&amp;L598&amp;M598&amp;N598&amp;O598,2)</f>
        <v>20</v>
      </c>
      <c r="Q598" s="2">
        <v>3</v>
      </c>
      <c r="R598" s="2" t="s">
        <v>574</v>
      </c>
      <c r="T598" s="2" t="s">
        <v>590</v>
      </c>
      <c r="U598" s="29" t="s">
        <v>581</v>
      </c>
    </row>
    <row r="599" spans="1:21">
      <c r="G599" s="2">
        <v>1</v>
      </c>
      <c r="H599" s="3" t="s">
        <v>576</v>
      </c>
      <c r="I599" s="3" t="s">
        <v>576</v>
      </c>
      <c r="J599" s="3" t="s">
        <v>576</v>
      </c>
      <c r="K599" s="3" t="s">
        <v>576</v>
      </c>
      <c r="L599" s="3" t="s">
        <v>576</v>
      </c>
      <c r="M599" s="3" t="s">
        <v>576</v>
      </c>
      <c r="N599" s="3" t="s">
        <v>576</v>
      </c>
      <c r="O599" s="3" t="s">
        <v>576</v>
      </c>
      <c r="U599" s="2" t="s">
        <v>577</v>
      </c>
    </row>
    <row r="601" spans="1:21">
      <c r="A601" s="2" t="s">
        <v>560</v>
      </c>
      <c r="B601" s="2" t="s">
        <v>591</v>
      </c>
      <c r="C601" s="2" t="s">
        <v>50</v>
      </c>
      <c r="E601" s="2" t="s">
        <v>51</v>
      </c>
      <c r="G601" s="2">
        <v>0</v>
      </c>
      <c r="H601" s="3">
        <v>1</v>
      </c>
      <c r="I601" s="3">
        <v>1</v>
      </c>
      <c r="J601" s="3">
        <v>1</v>
      </c>
      <c r="K601" s="3">
        <v>0</v>
      </c>
      <c r="L601" s="3">
        <v>1</v>
      </c>
      <c r="M601" s="3">
        <v>0</v>
      </c>
      <c r="N601" s="3">
        <v>0</v>
      </c>
      <c r="O601" s="3">
        <v>1</v>
      </c>
      <c r="P601" s="9" t="str">
        <f>BIN2HEX(""&amp;H601&amp;I601&amp;J601&amp;K601&amp;L601&amp;M601&amp;N601&amp;O601,2)</f>
        <v>E9</v>
      </c>
      <c r="Q601" s="2">
        <v>1</v>
      </c>
      <c r="R601" s="2">
        <v>4</v>
      </c>
      <c r="T601" s="2" t="s">
        <v>592</v>
      </c>
    </row>
    <row r="603" spans="1:21">
      <c r="A603" s="2" t="s">
        <v>560</v>
      </c>
      <c r="B603" s="2" t="s">
        <v>593</v>
      </c>
      <c r="C603" s="2" t="s">
        <v>594</v>
      </c>
      <c r="E603" s="2" t="s">
        <v>51</v>
      </c>
      <c r="G603" s="2">
        <v>0</v>
      </c>
      <c r="H603" s="3">
        <v>1</v>
      </c>
      <c r="I603" s="3">
        <v>1</v>
      </c>
      <c r="J603" s="13">
        <v>0</v>
      </c>
      <c r="K603" s="3">
        <v>1</v>
      </c>
      <c r="L603" s="3">
        <v>1</v>
      </c>
      <c r="M603" s="3">
        <v>1</v>
      </c>
      <c r="N603" s="3">
        <v>0</v>
      </c>
      <c r="O603" s="3">
        <v>1</v>
      </c>
      <c r="P603" s="9" t="str">
        <f>BIN2HEX(""&amp;H603&amp;I603&amp;J603&amp;K603&amp;L603&amp;M603&amp;N603&amp;O603,2)</f>
        <v>DD</v>
      </c>
      <c r="Q603" s="2">
        <v>2</v>
      </c>
      <c r="R603" s="2" t="s">
        <v>391</v>
      </c>
      <c r="T603" s="2" t="s">
        <v>595</v>
      </c>
      <c r="U603" s="14" t="s">
        <v>60</v>
      </c>
    </row>
    <row r="604" spans="1:21">
      <c r="G604" s="2">
        <v>1</v>
      </c>
      <c r="H604" s="3">
        <v>1</v>
      </c>
      <c r="I604" s="3">
        <v>1</v>
      </c>
      <c r="J604" s="3">
        <v>1</v>
      </c>
      <c r="K604" s="3">
        <v>0</v>
      </c>
      <c r="L604" s="3">
        <v>1</v>
      </c>
      <c r="M604" s="3">
        <v>0</v>
      </c>
      <c r="N604" s="3">
        <v>0</v>
      </c>
      <c r="O604" s="3">
        <v>1</v>
      </c>
      <c r="P604" s="9" t="str">
        <f>BIN2HEX(""&amp;H604&amp;I604&amp;J604&amp;K604&amp;L604&amp;M604&amp;N604&amp;O604,2)</f>
        <v>E9</v>
      </c>
    </row>
    <row r="606" spans="1:21">
      <c r="A606" s="2" t="s">
        <v>560</v>
      </c>
      <c r="B606" s="2" t="s">
        <v>596</v>
      </c>
      <c r="C606" s="2" t="s">
        <v>597</v>
      </c>
      <c r="E606" s="2" t="s">
        <v>51</v>
      </c>
      <c r="G606" s="2">
        <v>0</v>
      </c>
      <c r="H606" s="3">
        <v>1</v>
      </c>
      <c r="I606" s="3">
        <v>1</v>
      </c>
      <c r="J606" s="13">
        <v>1</v>
      </c>
      <c r="K606" s="3">
        <v>1</v>
      </c>
      <c r="L606" s="3">
        <v>1</v>
      </c>
      <c r="M606" s="3">
        <v>1</v>
      </c>
      <c r="N606" s="3">
        <v>0</v>
      </c>
      <c r="O606" s="3">
        <v>1</v>
      </c>
      <c r="P606" s="9" t="str">
        <f>BIN2HEX(""&amp;H606&amp;I606&amp;J606&amp;K606&amp;L606&amp;M606&amp;N606&amp;O606,2)</f>
        <v>FD</v>
      </c>
      <c r="Q606" s="2">
        <v>2</v>
      </c>
      <c r="R606" s="2" t="s">
        <v>391</v>
      </c>
      <c r="T606" s="2" t="s">
        <v>598</v>
      </c>
    </row>
    <row r="607" spans="1:21">
      <c r="G607" s="2">
        <v>1</v>
      </c>
      <c r="H607" s="3">
        <v>1</v>
      </c>
      <c r="I607" s="3">
        <v>1</v>
      </c>
      <c r="J607" s="3">
        <v>1</v>
      </c>
      <c r="K607" s="3">
        <v>0</v>
      </c>
      <c r="L607" s="3">
        <v>1</v>
      </c>
      <c r="M607" s="3">
        <v>0</v>
      </c>
      <c r="N607" s="3">
        <v>0</v>
      </c>
      <c r="O607" s="3">
        <v>1</v>
      </c>
      <c r="P607" s="9" t="str">
        <f>BIN2HEX(""&amp;H607&amp;I607&amp;J607&amp;K607&amp;L607&amp;M607&amp;N607&amp;O607,2)</f>
        <v>E9</v>
      </c>
    </row>
    <row r="609" spans="1:21">
      <c r="A609" s="2" t="s">
        <v>599</v>
      </c>
      <c r="B609" s="2" t="s">
        <v>600</v>
      </c>
      <c r="C609" s="2" t="s">
        <v>572</v>
      </c>
      <c r="E609" s="2" t="s">
        <v>573</v>
      </c>
      <c r="G609" s="2">
        <v>0</v>
      </c>
      <c r="H609" s="3">
        <v>0</v>
      </c>
      <c r="I609" s="3">
        <v>0</v>
      </c>
      <c r="J609" s="3">
        <v>0</v>
      </c>
      <c r="K609" s="3">
        <v>1</v>
      </c>
      <c r="L609" s="3">
        <v>0</v>
      </c>
      <c r="M609" s="3">
        <v>0</v>
      </c>
      <c r="N609" s="3">
        <v>0</v>
      </c>
      <c r="O609" s="3">
        <v>0</v>
      </c>
      <c r="P609" s="9" t="str">
        <f>BIN2HEX(""&amp;H609&amp;I609&amp;J609&amp;K609&amp;L609&amp;M609&amp;N609&amp;O609,2)</f>
        <v>10</v>
      </c>
      <c r="Q609" s="2">
        <v>3</v>
      </c>
      <c r="R609" s="2" t="s">
        <v>601</v>
      </c>
      <c r="T609" s="2" t="s">
        <v>602</v>
      </c>
    </row>
    <row r="610" spans="1:21">
      <c r="G610" s="2">
        <v>1</v>
      </c>
      <c r="H610" s="3" t="s">
        <v>576</v>
      </c>
      <c r="I610" s="3" t="s">
        <v>576</v>
      </c>
      <c r="J610" s="3" t="s">
        <v>576</v>
      </c>
      <c r="K610" s="3" t="s">
        <v>576</v>
      </c>
      <c r="L610" s="3" t="s">
        <v>576</v>
      </c>
      <c r="M610" s="3" t="s">
        <v>576</v>
      </c>
      <c r="N610" s="3" t="s">
        <v>576</v>
      </c>
      <c r="O610" s="3" t="s">
        <v>576</v>
      </c>
    </row>
    <row r="612" spans="1:21">
      <c r="A612" s="2" t="s">
        <v>603</v>
      </c>
      <c r="B612" s="2" t="s">
        <v>604</v>
      </c>
      <c r="C612" s="2" t="s">
        <v>138</v>
      </c>
      <c r="E612" s="2" t="s">
        <v>562</v>
      </c>
      <c r="G612" s="2">
        <v>0</v>
      </c>
      <c r="H612" s="3">
        <v>1</v>
      </c>
      <c r="I612" s="3">
        <v>1</v>
      </c>
      <c r="J612" s="3">
        <v>0</v>
      </c>
      <c r="K612" s="3">
        <v>0</v>
      </c>
      <c r="L612" s="3">
        <v>1</v>
      </c>
      <c r="M612" s="3">
        <v>1</v>
      </c>
      <c r="N612" s="3">
        <v>0</v>
      </c>
      <c r="O612" s="3">
        <v>1</v>
      </c>
      <c r="P612" s="9" t="str">
        <f>BIN2HEX(""&amp;H612&amp;I612&amp;J612&amp;K612&amp;L612&amp;M612&amp;N612&amp;O612,2)</f>
        <v>CD</v>
      </c>
      <c r="Q612" s="2">
        <v>5</v>
      </c>
      <c r="R612" s="2" t="s">
        <v>605</v>
      </c>
      <c r="T612" s="2" t="s">
        <v>606</v>
      </c>
    </row>
    <row r="613" spans="1:21">
      <c r="G613" s="2">
        <v>1</v>
      </c>
      <c r="H613" s="3" t="s">
        <v>48</v>
      </c>
      <c r="I613" s="3" t="s">
        <v>48</v>
      </c>
      <c r="J613" s="3" t="s">
        <v>48</v>
      </c>
      <c r="K613" s="3" t="s">
        <v>48</v>
      </c>
      <c r="L613" s="3" t="s">
        <v>48</v>
      </c>
      <c r="M613" s="3" t="s">
        <v>48</v>
      </c>
      <c r="N613" s="3" t="s">
        <v>48</v>
      </c>
      <c r="O613" s="3" t="s">
        <v>48</v>
      </c>
    </row>
    <row r="614" spans="1:21">
      <c r="G614" s="2">
        <v>2</v>
      </c>
      <c r="H614" s="3" t="s">
        <v>48</v>
      </c>
      <c r="I614" s="3" t="s">
        <v>48</v>
      </c>
      <c r="J614" s="3" t="s">
        <v>48</v>
      </c>
      <c r="K614" s="3" t="s">
        <v>48</v>
      </c>
      <c r="L614" s="3" t="s">
        <v>48</v>
      </c>
      <c r="M614" s="3" t="s">
        <v>48</v>
      </c>
      <c r="N614" s="3" t="s">
        <v>48</v>
      </c>
      <c r="O614" s="3" t="s">
        <v>48</v>
      </c>
    </row>
    <row r="616" spans="1:21">
      <c r="A616" s="2" t="s">
        <v>603</v>
      </c>
      <c r="B616" s="2" t="s">
        <v>607</v>
      </c>
      <c r="C616" s="2" t="s">
        <v>567</v>
      </c>
      <c r="D616" s="2" t="s">
        <v>138</v>
      </c>
      <c r="E616" s="2" t="s">
        <v>527</v>
      </c>
      <c r="F616" s="2" t="s">
        <v>562</v>
      </c>
      <c r="G616" s="2">
        <v>0</v>
      </c>
      <c r="H616" s="3">
        <v>1</v>
      </c>
      <c r="I616" s="3">
        <v>1</v>
      </c>
      <c r="J616" s="3" t="s">
        <v>568</v>
      </c>
      <c r="K616" s="3" t="s">
        <v>568</v>
      </c>
      <c r="L616" s="3" t="s">
        <v>568</v>
      </c>
      <c r="M616" s="3">
        <v>1</v>
      </c>
      <c r="N616" s="3">
        <v>0</v>
      </c>
      <c r="O616" s="3">
        <v>0</v>
      </c>
      <c r="P616" s="9"/>
      <c r="Q616" s="2">
        <v>5</v>
      </c>
      <c r="R616" s="2" t="s">
        <v>605</v>
      </c>
      <c r="T616" s="2" t="s">
        <v>608</v>
      </c>
    </row>
    <row r="617" spans="1:21">
      <c r="G617" s="2">
        <v>1</v>
      </c>
      <c r="H617" s="3" t="s">
        <v>48</v>
      </c>
      <c r="I617" s="3" t="s">
        <v>48</v>
      </c>
      <c r="J617" s="3" t="s">
        <v>48</v>
      </c>
      <c r="K617" s="3" t="s">
        <v>48</v>
      </c>
      <c r="L617" s="3" t="s">
        <v>48</v>
      </c>
      <c r="M617" s="3" t="s">
        <v>48</v>
      </c>
      <c r="N617" s="3" t="s">
        <v>48</v>
      </c>
      <c r="O617" s="3" t="s">
        <v>48</v>
      </c>
    </row>
    <row r="618" spans="1:21">
      <c r="G618" s="2">
        <v>2</v>
      </c>
      <c r="H618" s="3" t="s">
        <v>48</v>
      </c>
      <c r="I618" s="3" t="s">
        <v>48</v>
      </c>
      <c r="J618" s="3" t="s">
        <v>48</v>
      </c>
      <c r="K618" s="3" t="s">
        <v>48</v>
      </c>
      <c r="L618" s="3" t="s">
        <v>48</v>
      </c>
      <c r="M618" s="3" t="s">
        <v>48</v>
      </c>
      <c r="N618" s="3" t="s">
        <v>48</v>
      </c>
      <c r="O618" s="3" t="s">
        <v>48</v>
      </c>
    </row>
    <row r="620" spans="1:21">
      <c r="A620" s="2" t="s">
        <v>609</v>
      </c>
      <c r="B620" s="2" t="s">
        <v>609</v>
      </c>
      <c r="G620" s="2">
        <v>0</v>
      </c>
      <c r="H620" s="3">
        <v>1</v>
      </c>
      <c r="I620" s="3">
        <v>1</v>
      </c>
      <c r="J620" s="3">
        <v>0</v>
      </c>
      <c r="K620" s="3">
        <v>0</v>
      </c>
      <c r="L620" s="3">
        <v>1</v>
      </c>
      <c r="M620" s="3">
        <v>0</v>
      </c>
      <c r="N620" s="3">
        <v>0</v>
      </c>
      <c r="O620" s="3">
        <v>1</v>
      </c>
      <c r="P620" s="9" t="str">
        <f>BIN2HEX(""&amp;H620&amp;I620&amp;J620&amp;K620&amp;L620&amp;M620&amp;N620&amp;O620,2)</f>
        <v>C9</v>
      </c>
      <c r="Q620" s="2">
        <v>3</v>
      </c>
      <c r="R620" s="2" t="s">
        <v>81</v>
      </c>
      <c r="T620" s="2" t="s">
        <v>610</v>
      </c>
      <c r="U620" s="29" t="s">
        <v>611</v>
      </c>
    </row>
    <row r="622" spans="1:21">
      <c r="A622" s="2" t="s">
        <v>609</v>
      </c>
      <c r="B622" s="2" t="s">
        <v>612</v>
      </c>
      <c r="C622" s="2" t="s">
        <v>567</v>
      </c>
      <c r="E622" s="2" t="s">
        <v>527</v>
      </c>
      <c r="G622" s="2">
        <v>0</v>
      </c>
      <c r="H622" s="3">
        <v>1</v>
      </c>
      <c r="I622" s="3">
        <v>1</v>
      </c>
      <c r="J622" s="3" t="s">
        <v>568</v>
      </c>
      <c r="K622" s="3" t="s">
        <v>568</v>
      </c>
      <c r="L622" s="3" t="s">
        <v>568</v>
      </c>
      <c r="M622" s="3">
        <v>0</v>
      </c>
      <c r="N622" s="3">
        <v>0</v>
      </c>
      <c r="O622" s="28">
        <v>0</v>
      </c>
      <c r="P622" s="9"/>
      <c r="Q622" s="2">
        <v>3</v>
      </c>
      <c r="R622" s="2" t="s">
        <v>207</v>
      </c>
      <c r="T622" s="2" t="s">
        <v>613</v>
      </c>
    </row>
    <row r="624" spans="1:21">
      <c r="A624" s="2" t="s">
        <v>614</v>
      </c>
      <c r="B624" s="2" t="s">
        <v>614</v>
      </c>
      <c r="G624" s="2">
        <v>0</v>
      </c>
      <c r="H624" s="3">
        <v>1</v>
      </c>
      <c r="I624" s="3">
        <v>1</v>
      </c>
      <c r="J624" s="3">
        <v>1</v>
      </c>
      <c r="K624" s="3">
        <v>0</v>
      </c>
      <c r="L624" s="3">
        <v>1</v>
      </c>
      <c r="M624" s="3">
        <v>1</v>
      </c>
      <c r="N624" s="3">
        <v>0</v>
      </c>
      <c r="O624" s="3">
        <v>1</v>
      </c>
      <c r="P624" s="9" t="str">
        <f>BIN2HEX(""&amp;H624&amp;I624&amp;J624&amp;K624&amp;L624&amp;M624&amp;N624&amp;O624,2)</f>
        <v>ED</v>
      </c>
      <c r="Q624" s="2">
        <v>4</v>
      </c>
      <c r="R624" s="2" t="s">
        <v>145</v>
      </c>
      <c r="T624" s="2" t="s">
        <v>615</v>
      </c>
    </row>
    <row r="625" spans="1:21">
      <c r="G625" s="2">
        <v>1</v>
      </c>
      <c r="H625" s="3">
        <v>0</v>
      </c>
      <c r="I625" s="3">
        <v>1</v>
      </c>
      <c r="J625" s="3">
        <v>0</v>
      </c>
      <c r="K625" s="3">
        <v>0</v>
      </c>
      <c r="L625" s="3">
        <v>1</v>
      </c>
      <c r="M625" s="3">
        <v>1</v>
      </c>
      <c r="N625" s="3">
        <v>0</v>
      </c>
      <c r="O625" s="3">
        <v>1</v>
      </c>
      <c r="P625" s="9" t="str">
        <f>BIN2HEX(""&amp;H625&amp;I625&amp;J625&amp;K625&amp;L625&amp;M625&amp;N625&amp;O625,2)</f>
        <v>4D</v>
      </c>
    </row>
    <row r="627" spans="1:21">
      <c r="A627" s="2" t="s">
        <v>616</v>
      </c>
      <c r="B627" s="2" t="s">
        <v>616</v>
      </c>
      <c r="G627" s="2">
        <v>0</v>
      </c>
      <c r="H627" s="3">
        <v>1</v>
      </c>
      <c r="I627" s="3">
        <v>1</v>
      </c>
      <c r="J627" s="3">
        <v>1</v>
      </c>
      <c r="K627" s="3">
        <v>0</v>
      </c>
      <c r="L627" s="3">
        <v>1</v>
      </c>
      <c r="M627" s="3">
        <v>1</v>
      </c>
      <c r="N627" s="3">
        <v>0</v>
      </c>
      <c r="O627" s="3">
        <v>1</v>
      </c>
      <c r="P627" s="9" t="str">
        <f>BIN2HEX(""&amp;H627&amp;I627&amp;J627&amp;K627&amp;L627&amp;M627&amp;N627&amp;O627,2)</f>
        <v>ED</v>
      </c>
      <c r="Q627" s="2">
        <v>4</v>
      </c>
      <c r="R627" s="2" t="s">
        <v>145</v>
      </c>
      <c r="T627" s="2" t="s">
        <v>617</v>
      </c>
      <c r="U627" s="29" t="s">
        <v>618</v>
      </c>
    </row>
    <row r="628" spans="1:21">
      <c r="G628" s="2">
        <v>1</v>
      </c>
      <c r="H628" s="3">
        <v>0</v>
      </c>
      <c r="I628" s="3">
        <v>1</v>
      </c>
      <c r="J628" s="3">
        <v>0</v>
      </c>
      <c r="K628" s="3">
        <v>0</v>
      </c>
      <c r="L628" s="28">
        <v>0</v>
      </c>
      <c r="M628" s="3">
        <v>1</v>
      </c>
      <c r="N628" s="3">
        <v>0</v>
      </c>
      <c r="O628" s="3">
        <v>1</v>
      </c>
      <c r="P628" s="9" t="str">
        <f>BIN2HEX(""&amp;H628&amp;I628&amp;J628&amp;K628&amp;L628&amp;M628&amp;N628&amp;O628,2)</f>
        <v>45</v>
      </c>
    </row>
    <row r="630" spans="1:21">
      <c r="A630" s="2" t="s">
        <v>619</v>
      </c>
      <c r="B630" s="2" t="s">
        <v>620</v>
      </c>
      <c r="C630" s="2" t="s">
        <v>621</v>
      </c>
      <c r="E630" s="2" t="s">
        <v>622</v>
      </c>
      <c r="G630" s="2">
        <v>0</v>
      </c>
      <c r="H630" s="3">
        <v>1</v>
      </c>
      <c r="I630" s="3">
        <v>1</v>
      </c>
      <c r="J630" s="3" t="s">
        <v>623</v>
      </c>
      <c r="K630" s="3" t="s">
        <v>623</v>
      </c>
      <c r="L630" s="3" t="s">
        <v>623</v>
      </c>
      <c r="M630" s="3">
        <v>1</v>
      </c>
      <c r="N630" s="3">
        <v>1</v>
      </c>
      <c r="O630" s="3">
        <v>1</v>
      </c>
      <c r="P630" s="9"/>
      <c r="Q630" s="2">
        <v>3</v>
      </c>
      <c r="R630" s="2" t="s">
        <v>207</v>
      </c>
      <c r="T630" s="2" t="s">
        <v>606</v>
      </c>
    </row>
    <row r="632" spans="1:21">
      <c r="A632" s="2" t="s">
        <v>624</v>
      </c>
      <c r="B632" s="2" t="s">
        <v>625</v>
      </c>
      <c r="C632" s="2" t="s">
        <v>94</v>
      </c>
      <c r="D632" s="2" t="s">
        <v>626</v>
      </c>
      <c r="E632" s="2" t="s">
        <v>31</v>
      </c>
      <c r="F632" s="2" t="s">
        <v>627</v>
      </c>
      <c r="G632" s="2">
        <v>0</v>
      </c>
      <c r="H632" s="3">
        <v>1</v>
      </c>
      <c r="I632" s="3">
        <v>1</v>
      </c>
      <c r="J632" s="3">
        <v>0</v>
      </c>
      <c r="K632" s="3">
        <v>1</v>
      </c>
      <c r="L632" s="3">
        <v>1</v>
      </c>
      <c r="M632" s="3">
        <v>0</v>
      </c>
      <c r="N632" s="3">
        <v>1</v>
      </c>
      <c r="O632" s="3">
        <v>1</v>
      </c>
      <c r="P632" s="9" t="str">
        <f>BIN2HEX(""&amp;H632&amp;I632&amp;J632&amp;K632&amp;L632&amp;M632&amp;N632&amp;O632,2)</f>
        <v>DB</v>
      </c>
      <c r="Q632" s="2">
        <v>3</v>
      </c>
      <c r="R632" s="2" t="s">
        <v>628</v>
      </c>
      <c r="T632" s="2" t="s">
        <v>629</v>
      </c>
    </row>
    <row r="633" spans="1:21">
      <c r="G633" s="2">
        <v>1</v>
      </c>
      <c r="H633" s="3" t="s">
        <v>48</v>
      </c>
      <c r="I633" s="3" t="s">
        <v>48</v>
      </c>
      <c r="J633" s="3" t="s">
        <v>48</v>
      </c>
      <c r="K633" s="3" t="s">
        <v>48</v>
      </c>
      <c r="L633" s="3" t="s">
        <v>48</v>
      </c>
      <c r="M633" s="3" t="s">
        <v>48</v>
      </c>
      <c r="N633" s="3" t="s">
        <v>48</v>
      </c>
      <c r="O633" s="3" t="s">
        <v>48</v>
      </c>
    </row>
    <row r="635" spans="1:21">
      <c r="A635" s="2" t="s">
        <v>624</v>
      </c>
      <c r="B635" s="2" t="s">
        <v>630</v>
      </c>
      <c r="C635" s="2" t="s">
        <v>29</v>
      </c>
      <c r="D635" s="2" t="s">
        <v>631</v>
      </c>
      <c r="E635" s="2" t="s">
        <v>31</v>
      </c>
      <c r="F635" s="2" t="s">
        <v>51</v>
      </c>
      <c r="G635" s="2">
        <v>0</v>
      </c>
      <c r="H635" s="3">
        <v>1</v>
      </c>
      <c r="I635" s="3">
        <v>1</v>
      </c>
      <c r="J635" s="3">
        <v>1</v>
      </c>
      <c r="K635" s="3">
        <v>0</v>
      </c>
      <c r="L635" s="3">
        <v>1</v>
      </c>
      <c r="M635" s="3">
        <v>1</v>
      </c>
      <c r="N635" s="3">
        <v>0</v>
      </c>
      <c r="O635" s="3">
        <v>1</v>
      </c>
      <c r="P635" s="9" t="str">
        <f>BIN2HEX(""&amp;H635&amp;I635&amp;J635&amp;K635&amp;L635&amp;M635&amp;N635&amp;O635,2)</f>
        <v>ED</v>
      </c>
      <c r="Q635" s="2">
        <v>3</v>
      </c>
      <c r="R635" s="2" t="s">
        <v>532</v>
      </c>
      <c r="S635" s="2" t="s">
        <v>123</v>
      </c>
      <c r="T635" s="2" t="s">
        <v>632</v>
      </c>
      <c r="U635" s="34" t="s">
        <v>633</v>
      </c>
    </row>
    <row r="636" spans="1:21">
      <c r="G636" s="2">
        <v>1</v>
      </c>
      <c r="H636" s="3">
        <v>0</v>
      </c>
      <c r="I636" s="3">
        <v>1</v>
      </c>
      <c r="J636" s="3" t="s">
        <v>32</v>
      </c>
      <c r="K636" s="3" t="s">
        <v>32</v>
      </c>
      <c r="L636" s="3" t="s">
        <v>32</v>
      </c>
      <c r="M636" s="3">
        <v>0</v>
      </c>
      <c r="N636" s="3">
        <v>0</v>
      </c>
      <c r="O636" s="3">
        <v>0</v>
      </c>
    </row>
    <row r="638" spans="1:21">
      <c r="A638" s="2" t="s">
        <v>634</v>
      </c>
      <c r="B638" s="2" t="s">
        <v>634</v>
      </c>
      <c r="G638" s="2">
        <v>0</v>
      </c>
      <c r="H638" s="3">
        <v>1</v>
      </c>
      <c r="I638" s="3">
        <v>1</v>
      </c>
      <c r="J638" s="3">
        <v>1</v>
      </c>
      <c r="K638" s="3">
        <v>0</v>
      </c>
      <c r="L638" s="3">
        <v>1</v>
      </c>
      <c r="M638" s="3">
        <v>1</v>
      </c>
      <c r="N638" s="3">
        <v>0</v>
      </c>
      <c r="O638" s="3">
        <v>1</v>
      </c>
      <c r="P638" s="9" t="str">
        <f>BIN2HEX(""&amp;H638&amp;I638&amp;J638&amp;K638&amp;L638&amp;M638&amp;N638&amp;O638,2)</f>
        <v>ED</v>
      </c>
      <c r="Q638" s="2">
        <v>4</v>
      </c>
      <c r="R638" s="2" t="s">
        <v>635</v>
      </c>
      <c r="S638" s="2" t="s">
        <v>636</v>
      </c>
      <c r="T638" s="2" t="s">
        <v>637</v>
      </c>
    </row>
    <row r="639" spans="1:21">
      <c r="G639" s="2">
        <v>1</v>
      </c>
      <c r="H639" s="3">
        <v>1</v>
      </c>
      <c r="I639" s="3">
        <v>0</v>
      </c>
      <c r="J639" s="3">
        <v>1</v>
      </c>
      <c r="K639" s="3">
        <v>0</v>
      </c>
      <c r="L639" s="3">
        <v>0</v>
      </c>
      <c r="M639" s="3">
        <v>0</v>
      </c>
      <c r="N639" s="3">
        <v>1</v>
      </c>
      <c r="O639" s="3">
        <v>0</v>
      </c>
      <c r="P639" s="9" t="str">
        <f>BIN2HEX(""&amp;H639&amp;I639&amp;J639&amp;K639&amp;L639&amp;M639&amp;N639&amp;O639,2)</f>
        <v>A2</v>
      </c>
    </row>
    <row r="641" spans="1:20">
      <c r="A641" s="2" t="s">
        <v>638</v>
      </c>
      <c r="B641" s="2" t="s">
        <v>638</v>
      </c>
      <c r="G641" s="2">
        <v>0</v>
      </c>
      <c r="H641" s="3">
        <v>1</v>
      </c>
      <c r="I641" s="3">
        <v>1</v>
      </c>
      <c r="J641" s="3">
        <v>1</v>
      </c>
      <c r="K641" s="3">
        <v>0</v>
      </c>
      <c r="L641" s="3">
        <v>1</v>
      </c>
      <c r="M641" s="3">
        <v>1</v>
      </c>
      <c r="N641" s="3">
        <v>0</v>
      </c>
      <c r="O641" s="3">
        <v>1</v>
      </c>
      <c r="P641" s="9" t="str">
        <f>BIN2HEX(""&amp;H641&amp;I641&amp;J641&amp;K641&amp;L641&amp;M641&amp;N641&amp;O641,2)</f>
        <v>ED</v>
      </c>
      <c r="Q641" s="2">
        <v>5</v>
      </c>
      <c r="R641" s="2" t="s">
        <v>639</v>
      </c>
      <c r="S641" s="2" t="s">
        <v>636</v>
      </c>
      <c r="T641" s="2" t="s">
        <v>640</v>
      </c>
    </row>
    <row r="642" spans="1:20">
      <c r="G642" s="2">
        <v>1</v>
      </c>
      <c r="H642" s="3">
        <v>1</v>
      </c>
      <c r="I642" s="3">
        <v>0</v>
      </c>
      <c r="J642" s="3">
        <v>1</v>
      </c>
      <c r="K642" s="3">
        <v>1</v>
      </c>
      <c r="L642" s="3">
        <v>0</v>
      </c>
      <c r="M642" s="3">
        <v>0</v>
      </c>
      <c r="N642" s="3">
        <v>1</v>
      </c>
      <c r="O642" s="3">
        <v>0</v>
      </c>
      <c r="P642" s="9" t="str">
        <f>BIN2HEX(""&amp;H642&amp;I642&amp;J642&amp;K642&amp;L642&amp;M642&amp;N642&amp;O642,2)</f>
        <v>B2</v>
      </c>
    </row>
    <row r="644" spans="1:20">
      <c r="A644" s="2" t="s">
        <v>641</v>
      </c>
      <c r="B644" s="2" t="s">
        <v>641</v>
      </c>
      <c r="G644" s="2">
        <v>0</v>
      </c>
      <c r="H644" s="3">
        <v>1</v>
      </c>
      <c r="I644" s="3">
        <v>1</v>
      </c>
      <c r="J644" s="3">
        <v>1</v>
      </c>
      <c r="K644" s="3">
        <v>0</v>
      </c>
      <c r="L644" s="3">
        <v>1</v>
      </c>
      <c r="M644" s="3">
        <v>1</v>
      </c>
      <c r="N644" s="3">
        <v>0</v>
      </c>
      <c r="O644" s="3">
        <v>1</v>
      </c>
      <c r="P644" s="9" t="str">
        <f>BIN2HEX(""&amp;H644&amp;I644&amp;J644&amp;K644&amp;L644&amp;M644&amp;N644&amp;O644,2)</f>
        <v>ED</v>
      </c>
      <c r="Q644" s="2">
        <v>4</v>
      </c>
      <c r="R644" s="2" t="s">
        <v>635</v>
      </c>
      <c r="S644" s="2" t="s">
        <v>636</v>
      </c>
      <c r="T644" s="2" t="s">
        <v>642</v>
      </c>
    </row>
    <row r="645" spans="1:20">
      <c r="G645" s="2">
        <v>1</v>
      </c>
      <c r="H645" s="3">
        <v>1</v>
      </c>
      <c r="I645" s="3">
        <v>0</v>
      </c>
      <c r="J645" s="3">
        <v>1</v>
      </c>
      <c r="K645" s="3">
        <v>0</v>
      </c>
      <c r="L645" s="28">
        <v>1</v>
      </c>
      <c r="M645" s="3">
        <v>0</v>
      </c>
      <c r="N645" s="3">
        <v>1</v>
      </c>
      <c r="O645" s="3">
        <v>0</v>
      </c>
      <c r="P645" s="9" t="str">
        <f>BIN2HEX(""&amp;H645&amp;I645&amp;J645&amp;K645&amp;L645&amp;M645&amp;N645&amp;O645,2)</f>
        <v>AA</v>
      </c>
    </row>
    <row r="647" spans="1:20">
      <c r="A647" s="2" t="s">
        <v>643</v>
      </c>
      <c r="B647" s="2" t="s">
        <v>643</v>
      </c>
      <c r="G647" s="2">
        <v>0</v>
      </c>
      <c r="H647" s="3">
        <v>1</v>
      </c>
      <c r="I647" s="3">
        <v>1</v>
      </c>
      <c r="J647" s="3">
        <v>1</v>
      </c>
      <c r="K647" s="3">
        <v>0</v>
      </c>
      <c r="L647" s="3">
        <v>1</v>
      </c>
      <c r="M647" s="3">
        <v>1</v>
      </c>
      <c r="N647" s="3">
        <v>0</v>
      </c>
      <c r="O647" s="3">
        <v>1</v>
      </c>
      <c r="P647" s="9" t="str">
        <f>BIN2HEX(""&amp;H647&amp;I647&amp;J647&amp;K647&amp;L647&amp;M647&amp;N647&amp;O647,2)</f>
        <v>ED</v>
      </c>
      <c r="Q647" s="2">
        <v>5</v>
      </c>
      <c r="R647" s="2" t="s">
        <v>639</v>
      </c>
      <c r="S647" s="2" t="s">
        <v>636</v>
      </c>
      <c r="T647" s="2" t="s">
        <v>644</v>
      </c>
    </row>
    <row r="648" spans="1:20">
      <c r="G648" s="2">
        <v>1</v>
      </c>
      <c r="H648" s="3">
        <v>1</v>
      </c>
      <c r="I648" s="3">
        <v>0</v>
      </c>
      <c r="J648" s="3">
        <v>1</v>
      </c>
      <c r="K648" s="3">
        <v>1</v>
      </c>
      <c r="L648" s="28">
        <v>1</v>
      </c>
      <c r="M648" s="3">
        <v>0</v>
      </c>
      <c r="N648" s="3">
        <v>1</v>
      </c>
      <c r="O648" s="3">
        <v>0</v>
      </c>
      <c r="P648" s="9" t="str">
        <f>BIN2HEX(""&amp;H648&amp;I648&amp;J648&amp;K648&amp;L648&amp;M648&amp;N648&amp;O648,2)</f>
        <v>BA</v>
      </c>
    </row>
    <row r="650" spans="1:20">
      <c r="A650" s="2" t="s">
        <v>645</v>
      </c>
      <c r="B650" s="2" t="s">
        <v>646</v>
      </c>
      <c r="C650" s="2" t="s">
        <v>626</v>
      </c>
      <c r="D650" s="2" t="s">
        <v>94</v>
      </c>
      <c r="E650" s="2" t="s">
        <v>627</v>
      </c>
      <c r="F650" s="2" t="s">
        <v>31</v>
      </c>
      <c r="G650" s="2">
        <v>0</v>
      </c>
      <c r="H650" s="3">
        <v>1</v>
      </c>
      <c r="I650" s="3">
        <v>1</v>
      </c>
      <c r="J650" s="3">
        <v>0</v>
      </c>
      <c r="K650" s="3">
        <v>1</v>
      </c>
      <c r="L650" s="3">
        <v>0</v>
      </c>
      <c r="M650" s="3">
        <v>0</v>
      </c>
      <c r="N650" s="3">
        <v>1</v>
      </c>
      <c r="O650" s="3">
        <v>1</v>
      </c>
      <c r="P650" s="9" t="str">
        <f>BIN2HEX(""&amp;H650&amp;I650&amp;J650&amp;K650&amp;L650&amp;M650&amp;N650&amp;O650,2)</f>
        <v>D3</v>
      </c>
      <c r="Q650" s="2">
        <v>3</v>
      </c>
      <c r="R650" s="2" t="s">
        <v>628</v>
      </c>
      <c r="T650" s="2" t="s">
        <v>647</v>
      </c>
    </row>
    <row r="651" spans="1:20">
      <c r="G651" s="2">
        <v>1</v>
      </c>
      <c r="H651" s="3" t="s">
        <v>48</v>
      </c>
      <c r="I651" s="3" t="s">
        <v>48</v>
      </c>
      <c r="J651" s="3" t="s">
        <v>48</v>
      </c>
      <c r="K651" s="3" t="s">
        <v>48</v>
      </c>
      <c r="L651" s="3" t="s">
        <v>48</v>
      </c>
      <c r="M651" s="3" t="s">
        <v>48</v>
      </c>
      <c r="N651" s="3" t="s">
        <v>48</v>
      </c>
      <c r="O651" s="3" t="s">
        <v>48</v>
      </c>
    </row>
    <row r="653" spans="1:20">
      <c r="A653" s="2" t="s">
        <v>645</v>
      </c>
      <c r="B653" s="2" t="s">
        <v>648</v>
      </c>
      <c r="C653" s="2" t="s">
        <v>649</v>
      </c>
      <c r="D653" s="2" t="s">
        <v>650</v>
      </c>
      <c r="E653" s="2" t="s">
        <v>51</v>
      </c>
      <c r="F653" s="2" t="s">
        <v>31</v>
      </c>
      <c r="G653" s="2">
        <v>0</v>
      </c>
      <c r="H653" s="3">
        <v>1</v>
      </c>
      <c r="I653" s="3">
        <v>1</v>
      </c>
      <c r="J653" s="3">
        <v>1</v>
      </c>
      <c r="K653" s="3">
        <v>0</v>
      </c>
      <c r="L653" s="3">
        <v>1</v>
      </c>
      <c r="M653" s="3">
        <v>1</v>
      </c>
      <c r="N653" s="3">
        <v>0</v>
      </c>
      <c r="O653" s="3">
        <v>1</v>
      </c>
      <c r="P653" s="9" t="str">
        <f>BIN2HEX(""&amp;H653&amp;I653&amp;J653&amp;K653&amp;L653&amp;M653&amp;N653&amp;O653,2)</f>
        <v>ED</v>
      </c>
      <c r="Q653" s="2">
        <v>3</v>
      </c>
      <c r="R653" s="2" t="s">
        <v>532</v>
      </c>
      <c r="S653" s="2" t="s">
        <v>123</v>
      </c>
      <c r="T653" s="2" t="s">
        <v>651</v>
      </c>
    </row>
    <row r="654" spans="1:20">
      <c r="G654" s="2">
        <v>1</v>
      </c>
      <c r="H654" s="3">
        <v>0</v>
      </c>
      <c r="I654" s="3">
        <v>1</v>
      </c>
      <c r="J654" s="3" t="s">
        <v>32</v>
      </c>
      <c r="K654" s="3" t="s">
        <v>32</v>
      </c>
      <c r="L654" s="3" t="s">
        <v>32</v>
      </c>
      <c r="M654" s="3">
        <v>0</v>
      </c>
      <c r="N654" s="3">
        <v>0</v>
      </c>
      <c r="O654" s="28">
        <v>1</v>
      </c>
    </row>
    <row r="656" spans="1:20">
      <c r="A656" s="2" t="s">
        <v>652</v>
      </c>
      <c r="B656" s="2" t="s">
        <v>652</v>
      </c>
      <c r="G656" s="2">
        <v>0</v>
      </c>
      <c r="H656" s="3">
        <v>1</v>
      </c>
      <c r="I656" s="3">
        <v>1</v>
      </c>
      <c r="J656" s="3">
        <v>1</v>
      </c>
      <c r="K656" s="3">
        <v>0</v>
      </c>
      <c r="L656" s="3">
        <v>1</v>
      </c>
      <c r="M656" s="3">
        <v>1</v>
      </c>
      <c r="N656" s="3">
        <v>0</v>
      </c>
      <c r="O656" s="3">
        <v>1</v>
      </c>
      <c r="P656" s="9" t="str">
        <f>BIN2HEX(""&amp;H656&amp;I656&amp;J656&amp;K656&amp;L656&amp;M656&amp;N656&amp;O656,2)</f>
        <v>ED</v>
      </c>
      <c r="Q656" s="2">
        <v>4</v>
      </c>
      <c r="R656" s="2" t="s">
        <v>635</v>
      </c>
      <c r="S656" s="2" t="s">
        <v>636</v>
      </c>
      <c r="T656" s="2" t="s">
        <v>653</v>
      </c>
    </row>
    <row r="657" spans="1:20">
      <c r="G657" s="2">
        <v>1</v>
      </c>
      <c r="H657" s="3">
        <v>1</v>
      </c>
      <c r="I657" s="3">
        <v>0</v>
      </c>
      <c r="J657" s="3">
        <v>1</v>
      </c>
      <c r="K657" s="3">
        <v>0</v>
      </c>
      <c r="L657" s="3">
        <v>0</v>
      </c>
      <c r="M657" s="3">
        <v>0</v>
      </c>
      <c r="N657" s="3">
        <v>1</v>
      </c>
      <c r="O657" s="28">
        <v>1</v>
      </c>
      <c r="P657" s="9" t="str">
        <f>BIN2HEX(""&amp;H657&amp;I657&amp;J657&amp;K657&amp;L657&amp;M657&amp;N657&amp;O657,2)</f>
        <v>A3</v>
      </c>
    </row>
    <row r="659" spans="1:20">
      <c r="A659" s="2" t="s">
        <v>654</v>
      </c>
      <c r="B659" s="2" t="s">
        <v>654</v>
      </c>
      <c r="G659" s="2">
        <v>0</v>
      </c>
      <c r="H659" s="3">
        <v>1</v>
      </c>
      <c r="I659" s="3">
        <v>1</v>
      </c>
      <c r="J659" s="3">
        <v>1</v>
      </c>
      <c r="K659" s="3">
        <v>0</v>
      </c>
      <c r="L659" s="3">
        <v>1</v>
      </c>
      <c r="M659" s="3">
        <v>1</v>
      </c>
      <c r="N659" s="3">
        <v>0</v>
      </c>
      <c r="O659" s="3">
        <v>1</v>
      </c>
      <c r="P659" s="9" t="str">
        <f>BIN2HEX(""&amp;H659&amp;I659&amp;J659&amp;K659&amp;L659&amp;M659&amp;N659&amp;O659,2)</f>
        <v>ED</v>
      </c>
      <c r="Q659" s="2">
        <v>5</v>
      </c>
      <c r="R659" s="2" t="s">
        <v>639</v>
      </c>
      <c r="S659" s="2" t="s">
        <v>636</v>
      </c>
      <c r="T659" s="2" t="s">
        <v>655</v>
      </c>
    </row>
    <row r="660" spans="1:20">
      <c r="G660" s="2">
        <v>1</v>
      </c>
      <c r="H660" s="3">
        <v>1</v>
      </c>
      <c r="I660" s="3">
        <v>0</v>
      </c>
      <c r="J660" s="3">
        <v>1</v>
      </c>
      <c r="K660" s="3">
        <v>1</v>
      </c>
      <c r="L660" s="3">
        <v>0</v>
      </c>
      <c r="M660" s="3">
        <v>0</v>
      </c>
      <c r="N660" s="3">
        <v>1</v>
      </c>
      <c r="O660" s="28">
        <v>1</v>
      </c>
      <c r="P660" s="9" t="str">
        <f>BIN2HEX(""&amp;H660&amp;I660&amp;J660&amp;K660&amp;L660&amp;M660&amp;N660&amp;O660,2)</f>
        <v>B3</v>
      </c>
    </row>
    <row r="662" spans="1:20">
      <c r="A662" s="2" t="s">
        <v>656</v>
      </c>
      <c r="B662" s="2" t="s">
        <v>656</v>
      </c>
      <c r="G662" s="2">
        <v>0</v>
      </c>
      <c r="H662" s="3">
        <v>1</v>
      </c>
      <c r="I662" s="3">
        <v>1</v>
      </c>
      <c r="J662" s="3">
        <v>1</v>
      </c>
      <c r="K662" s="3">
        <v>0</v>
      </c>
      <c r="L662" s="3">
        <v>1</v>
      </c>
      <c r="M662" s="3">
        <v>1</v>
      </c>
      <c r="N662" s="3">
        <v>0</v>
      </c>
      <c r="O662" s="3">
        <v>1</v>
      </c>
      <c r="P662" s="9" t="str">
        <f>BIN2HEX(""&amp;H662&amp;I662&amp;J662&amp;K662&amp;L662&amp;M662&amp;N662&amp;O662,2)</f>
        <v>ED</v>
      </c>
      <c r="Q662" s="2">
        <v>4</v>
      </c>
      <c r="R662" s="2" t="s">
        <v>635</v>
      </c>
      <c r="S662" s="2" t="s">
        <v>636</v>
      </c>
      <c r="T662" s="2" t="s">
        <v>657</v>
      </c>
    </row>
    <row r="663" spans="1:20">
      <c r="G663" s="2">
        <v>1</v>
      </c>
      <c r="H663" s="3">
        <v>1</v>
      </c>
      <c r="I663" s="3">
        <v>0</v>
      </c>
      <c r="J663" s="3">
        <v>1</v>
      </c>
      <c r="K663" s="3">
        <v>0</v>
      </c>
      <c r="L663" s="28">
        <v>1</v>
      </c>
      <c r="M663" s="3">
        <v>0</v>
      </c>
      <c r="N663" s="3">
        <v>1</v>
      </c>
      <c r="O663" s="28">
        <v>1</v>
      </c>
      <c r="P663" s="9" t="str">
        <f>BIN2HEX(""&amp;H663&amp;I663&amp;J663&amp;K663&amp;L663&amp;M663&amp;N663&amp;O663,2)</f>
        <v>AB</v>
      </c>
    </row>
    <row r="665" spans="1:20">
      <c r="A665" s="2" t="s">
        <v>658</v>
      </c>
      <c r="B665" s="2" t="s">
        <v>658</v>
      </c>
      <c r="G665" s="2">
        <v>0</v>
      </c>
      <c r="H665" s="3">
        <v>1</v>
      </c>
      <c r="I665" s="3">
        <v>1</v>
      </c>
      <c r="J665" s="3">
        <v>1</v>
      </c>
      <c r="K665" s="3">
        <v>0</v>
      </c>
      <c r="L665" s="3">
        <v>1</v>
      </c>
      <c r="M665" s="3">
        <v>1</v>
      </c>
      <c r="N665" s="3">
        <v>0</v>
      </c>
      <c r="O665" s="3">
        <v>1</v>
      </c>
      <c r="P665" s="9" t="str">
        <f>BIN2HEX(""&amp;H665&amp;I665&amp;J665&amp;K665&amp;L665&amp;M665&amp;N665&amp;O665,2)</f>
        <v>ED</v>
      </c>
      <c r="Q665" s="2">
        <v>5</v>
      </c>
      <c r="R665" s="2" t="s">
        <v>639</v>
      </c>
      <c r="S665" s="2" t="s">
        <v>636</v>
      </c>
      <c r="T665" s="2" t="s">
        <v>659</v>
      </c>
    </row>
    <row r="666" spans="1:20">
      <c r="G666" s="2">
        <v>1</v>
      </c>
      <c r="H666" s="3">
        <v>1</v>
      </c>
      <c r="I666" s="3">
        <v>0</v>
      </c>
      <c r="J666" s="3">
        <v>1</v>
      </c>
      <c r="K666" s="3">
        <v>1</v>
      </c>
      <c r="L666" s="28">
        <v>1</v>
      </c>
      <c r="M666" s="3">
        <v>0</v>
      </c>
      <c r="N666" s="3">
        <v>1</v>
      </c>
      <c r="O666" s="28">
        <v>1</v>
      </c>
      <c r="P666" s="9" t="str">
        <f>BIN2HEX(""&amp;H666&amp;I666&amp;J666&amp;K666&amp;L666&amp;M666&amp;N666&amp;O666,2)</f>
        <v>BB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useFirstPageNumber="1" horizontalDpi="0" verticalDpi="0" copies="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E71"/>
  <sheetViews>
    <sheetView workbookViewId="0"/>
  </sheetViews>
  <sheetFormatPr baseColWidth="10" defaultRowHeight="14.25"/>
  <cols>
    <col min="1" max="3" width="10.75" style="35" customWidth="1"/>
    <col min="4" max="1024" width="10.75" customWidth="1"/>
  </cols>
  <sheetData>
    <row r="2" spans="1:3">
      <c r="B2" s="35" t="s">
        <v>660</v>
      </c>
    </row>
    <row r="3" spans="1:3">
      <c r="A3" s="35" t="s">
        <v>32</v>
      </c>
      <c r="B3" s="35" t="s">
        <v>94</v>
      </c>
      <c r="C3" s="35" t="s">
        <v>661</v>
      </c>
    </row>
    <row r="4" spans="1:3">
      <c r="A4" s="35" t="s">
        <v>32</v>
      </c>
      <c r="B4" s="35" t="s">
        <v>527</v>
      </c>
      <c r="C4" s="35" t="s">
        <v>662</v>
      </c>
    </row>
    <row r="5" spans="1:3">
      <c r="A5" s="35" t="s">
        <v>32</v>
      </c>
      <c r="B5" s="35" t="s">
        <v>579</v>
      </c>
      <c r="C5" s="35" t="s">
        <v>663</v>
      </c>
    </row>
    <row r="6" spans="1:3">
      <c r="A6" s="35" t="s">
        <v>32</v>
      </c>
      <c r="B6" s="35" t="s">
        <v>664</v>
      </c>
      <c r="C6" s="35" t="s">
        <v>665</v>
      </c>
    </row>
    <row r="7" spans="1:3">
      <c r="A7" s="35" t="s">
        <v>32</v>
      </c>
      <c r="B7" s="35" t="s">
        <v>107</v>
      </c>
      <c r="C7" s="35" t="s">
        <v>666</v>
      </c>
    </row>
    <row r="8" spans="1:3">
      <c r="A8" s="35" t="s">
        <v>32</v>
      </c>
      <c r="B8" s="35" t="s">
        <v>667</v>
      </c>
      <c r="C8" s="35" t="s">
        <v>668</v>
      </c>
    </row>
    <row r="9" spans="1:3">
      <c r="A9" s="35" t="s">
        <v>32</v>
      </c>
      <c r="B9" s="35" t="s">
        <v>573</v>
      </c>
      <c r="C9" s="35" t="s">
        <v>669</v>
      </c>
    </row>
    <row r="11" spans="1:3">
      <c r="A11" s="35" t="s">
        <v>33</v>
      </c>
      <c r="B11" s="35" t="s">
        <v>94</v>
      </c>
      <c r="C11" s="35" t="s">
        <v>661</v>
      </c>
    </row>
    <row r="12" spans="1:3">
      <c r="A12" s="35" t="s">
        <v>33</v>
      </c>
      <c r="B12" s="35" t="s">
        <v>527</v>
      </c>
      <c r="C12" s="35" t="s">
        <v>662</v>
      </c>
    </row>
    <row r="13" spans="1:3">
      <c r="A13" s="35" t="s">
        <v>33</v>
      </c>
      <c r="B13" s="35" t="s">
        <v>579</v>
      </c>
      <c r="C13" s="35" t="s">
        <v>663</v>
      </c>
    </row>
    <row r="14" spans="1:3">
      <c r="A14" s="35" t="s">
        <v>33</v>
      </c>
      <c r="B14" s="35" t="s">
        <v>664</v>
      </c>
      <c r="C14" s="35" t="s">
        <v>665</v>
      </c>
    </row>
    <row r="15" spans="1:3">
      <c r="A15" s="35" t="s">
        <v>33</v>
      </c>
      <c r="B15" s="35" t="s">
        <v>107</v>
      </c>
      <c r="C15" s="35" t="s">
        <v>666</v>
      </c>
    </row>
    <row r="16" spans="1:3">
      <c r="A16" s="35" t="s">
        <v>33</v>
      </c>
      <c r="B16" s="35" t="s">
        <v>667</v>
      </c>
      <c r="C16" s="35" t="s">
        <v>668</v>
      </c>
    </row>
    <row r="17" spans="1:3">
      <c r="A17" s="35" t="s">
        <v>33</v>
      </c>
      <c r="B17" s="35" t="s">
        <v>573</v>
      </c>
      <c r="C17" s="35" t="s">
        <v>669</v>
      </c>
    </row>
    <row r="19" spans="1:3">
      <c r="B19" s="35" t="s">
        <v>670</v>
      </c>
    </row>
    <row r="20" spans="1:3">
      <c r="A20" s="35" t="s">
        <v>481</v>
      </c>
      <c r="B20" s="35" t="s">
        <v>671</v>
      </c>
      <c r="C20" s="35" t="s">
        <v>672</v>
      </c>
    </row>
    <row r="21" spans="1:3">
      <c r="A21" s="35" t="s">
        <v>481</v>
      </c>
      <c r="B21" s="35" t="s">
        <v>239</v>
      </c>
      <c r="C21" s="35" t="s">
        <v>673</v>
      </c>
    </row>
    <row r="22" spans="1:3">
      <c r="A22" s="35" t="s">
        <v>481</v>
      </c>
      <c r="B22" s="35" t="s">
        <v>155</v>
      </c>
      <c r="C22" s="35" t="s">
        <v>674</v>
      </c>
    </row>
    <row r="23" spans="1:3">
      <c r="A23" s="35" t="s">
        <v>481</v>
      </c>
      <c r="B23" s="35" t="s">
        <v>190</v>
      </c>
      <c r="C23" s="35" t="s">
        <v>675</v>
      </c>
    </row>
    <row r="25" spans="1:3">
      <c r="B25" s="35" t="s">
        <v>676</v>
      </c>
    </row>
    <row r="26" spans="1:3">
      <c r="A26" s="35" t="s">
        <v>677</v>
      </c>
      <c r="B26" s="35" t="s">
        <v>671</v>
      </c>
      <c r="C26" s="35" t="s">
        <v>672</v>
      </c>
    </row>
    <row r="27" spans="1:3">
      <c r="A27" s="35" t="s">
        <v>677</v>
      </c>
      <c r="B27" s="35" t="s">
        <v>239</v>
      </c>
      <c r="C27" s="35" t="s">
        <v>673</v>
      </c>
    </row>
    <row r="28" spans="1:3">
      <c r="A28" s="35" t="s">
        <v>677</v>
      </c>
      <c r="B28" s="35" t="s">
        <v>155</v>
      </c>
      <c r="C28" s="35" t="s">
        <v>674</v>
      </c>
    </row>
    <row r="29" spans="1:3">
      <c r="A29" s="35" t="s">
        <v>677</v>
      </c>
      <c r="B29" s="35" t="s">
        <v>242</v>
      </c>
      <c r="C29" s="35" t="s">
        <v>675</v>
      </c>
    </row>
    <row r="31" spans="1:3">
      <c r="B31" s="35" t="s">
        <v>678</v>
      </c>
    </row>
    <row r="32" spans="1:3">
      <c r="A32" s="35" t="s">
        <v>679</v>
      </c>
      <c r="B32" s="35" t="s">
        <v>671</v>
      </c>
      <c r="C32" s="35" t="s">
        <v>672</v>
      </c>
    </row>
    <row r="33" spans="1:3">
      <c r="A33" s="35" t="s">
        <v>679</v>
      </c>
      <c r="B33" s="35" t="s">
        <v>239</v>
      </c>
      <c r="C33" s="35" t="s">
        <v>673</v>
      </c>
    </row>
    <row r="34" spans="1:3">
      <c r="A34" s="35" t="s">
        <v>679</v>
      </c>
      <c r="B34" s="35" t="s">
        <v>144</v>
      </c>
      <c r="C34" s="35" t="s">
        <v>674</v>
      </c>
    </row>
    <row r="35" spans="1:3">
      <c r="A35" s="35" t="s">
        <v>679</v>
      </c>
      <c r="B35" s="35" t="s">
        <v>242</v>
      </c>
      <c r="C35" s="35" t="s">
        <v>675</v>
      </c>
    </row>
    <row r="37" spans="1:3">
      <c r="B37" s="35" t="s">
        <v>680</v>
      </c>
    </row>
    <row r="38" spans="1:3">
      <c r="A38" s="35" t="s">
        <v>681</v>
      </c>
      <c r="B38" s="35" t="s">
        <v>671</v>
      </c>
      <c r="C38" s="35" t="s">
        <v>672</v>
      </c>
    </row>
    <row r="39" spans="1:3">
      <c r="A39" s="35" t="s">
        <v>681</v>
      </c>
      <c r="B39" s="35" t="s">
        <v>239</v>
      </c>
      <c r="C39" s="35" t="s">
        <v>673</v>
      </c>
    </row>
    <row r="40" spans="1:3">
      <c r="A40" s="35" t="s">
        <v>681</v>
      </c>
      <c r="B40" s="35" t="s">
        <v>150</v>
      </c>
      <c r="C40" s="35" t="s">
        <v>674</v>
      </c>
    </row>
    <row r="41" spans="1:3">
      <c r="A41" s="35" t="s">
        <v>681</v>
      </c>
      <c r="B41" s="35" t="s">
        <v>242</v>
      </c>
      <c r="C41" s="35" t="s">
        <v>675</v>
      </c>
    </row>
    <row r="42" spans="1:3">
      <c r="A42" s="36"/>
    </row>
    <row r="43" spans="1:3">
      <c r="B43" s="35" t="s">
        <v>682</v>
      </c>
    </row>
    <row r="44" spans="1:3">
      <c r="A44" s="35" t="s">
        <v>530</v>
      </c>
      <c r="B44" s="35" t="s">
        <v>408</v>
      </c>
      <c r="C44" s="35" t="s">
        <v>662</v>
      </c>
    </row>
    <row r="45" spans="1:3">
      <c r="A45" s="35" t="s">
        <v>530</v>
      </c>
      <c r="B45" s="35" t="s">
        <v>411</v>
      </c>
      <c r="C45" s="35" t="s">
        <v>663</v>
      </c>
    </row>
    <row r="46" spans="1:3">
      <c r="A46" s="35" t="s">
        <v>530</v>
      </c>
      <c r="B46" s="35" t="s">
        <v>414</v>
      </c>
      <c r="C46" s="35" t="s">
        <v>665</v>
      </c>
    </row>
    <row r="47" spans="1:3">
      <c r="A47" s="35" t="s">
        <v>530</v>
      </c>
      <c r="B47" s="35" t="s">
        <v>683</v>
      </c>
      <c r="C47" s="35" t="s">
        <v>666</v>
      </c>
    </row>
    <row r="48" spans="1:3">
      <c r="A48" s="35" t="s">
        <v>530</v>
      </c>
      <c r="B48" s="35" t="s">
        <v>684</v>
      </c>
      <c r="C48" s="35" t="s">
        <v>668</v>
      </c>
    </row>
    <row r="49" spans="1:5">
      <c r="A49" s="35" t="s">
        <v>530</v>
      </c>
      <c r="B49" s="35" t="s">
        <v>685</v>
      </c>
      <c r="C49" s="35" t="s">
        <v>669</v>
      </c>
    </row>
    <row r="50" spans="1:5">
      <c r="A50" s="35" t="s">
        <v>530</v>
      </c>
      <c r="B50" s="35" t="s">
        <v>686</v>
      </c>
      <c r="C50" s="35" t="s">
        <v>687</v>
      </c>
    </row>
    <row r="51" spans="1:5">
      <c r="A51" s="35" t="s">
        <v>530</v>
      </c>
      <c r="B51" s="35" t="s">
        <v>688</v>
      </c>
      <c r="C51" s="35" t="s">
        <v>661</v>
      </c>
    </row>
    <row r="53" spans="1:5">
      <c r="B53" s="35" t="s">
        <v>689</v>
      </c>
    </row>
    <row r="54" spans="1:5">
      <c r="A54" s="35" t="s">
        <v>690</v>
      </c>
      <c r="B54" s="35" t="s">
        <v>589</v>
      </c>
      <c r="C54" s="35" t="s">
        <v>662</v>
      </c>
      <c r="D54" t="s">
        <v>586</v>
      </c>
      <c r="E54" t="s">
        <v>691</v>
      </c>
    </row>
    <row r="55" spans="1:5">
      <c r="A55" s="35" t="s">
        <v>690</v>
      </c>
      <c r="B55" s="35" t="s">
        <v>586</v>
      </c>
      <c r="C55" s="35" t="s">
        <v>663</v>
      </c>
      <c r="D55" t="s">
        <v>586</v>
      </c>
      <c r="E55" t="s">
        <v>692</v>
      </c>
    </row>
    <row r="56" spans="1:5">
      <c r="A56" s="35" t="s">
        <v>690</v>
      </c>
      <c r="B56" s="35" t="s">
        <v>583</v>
      </c>
      <c r="C56" s="35" t="s">
        <v>665</v>
      </c>
      <c r="D56" t="s">
        <v>579</v>
      </c>
      <c r="E56" t="s">
        <v>693</v>
      </c>
    </row>
    <row r="57" spans="1:5">
      <c r="A57" s="35" t="s">
        <v>690</v>
      </c>
      <c r="B57" s="35" t="s">
        <v>579</v>
      </c>
      <c r="C57" s="35" t="s">
        <v>666</v>
      </c>
      <c r="D57" t="s">
        <v>579</v>
      </c>
      <c r="E57" t="s">
        <v>694</v>
      </c>
    </row>
    <row r="58" spans="1:5">
      <c r="A58" s="35" t="s">
        <v>690</v>
      </c>
      <c r="B58" s="35" t="s">
        <v>695</v>
      </c>
      <c r="C58" s="35" t="s">
        <v>668</v>
      </c>
      <c r="D58" t="s">
        <v>696</v>
      </c>
      <c r="E58" t="s">
        <v>697</v>
      </c>
    </row>
    <row r="59" spans="1:5">
      <c r="A59" s="35" t="s">
        <v>690</v>
      </c>
      <c r="B59" s="35" t="s">
        <v>698</v>
      </c>
      <c r="C59" s="35" t="s">
        <v>669</v>
      </c>
      <c r="D59" t="s">
        <v>696</v>
      </c>
      <c r="E59" t="s">
        <v>699</v>
      </c>
    </row>
    <row r="60" spans="1:5">
      <c r="A60" s="35" t="s">
        <v>690</v>
      </c>
      <c r="B60" s="35" t="s">
        <v>426</v>
      </c>
      <c r="C60" s="35" t="s">
        <v>687</v>
      </c>
      <c r="D60" t="s">
        <v>700</v>
      </c>
      <c r="E60" t="s">
        <v>701</v>
      </c>
    </row>
    <row r="61" spans="1:5">
      <c r="A61" s="35" t="s">
        <v>690</v>
      </c>
      <c r="B61" s="35" t="s">
        <v>702</v>
      </c>
      <c r="C61" s="35" t="s">
        <v>661</v>
      </c>
      <c r="D61" t="s">
        <v>700</v>
      </c>
      <c r="E61" t="s">
        <v>703</v>
      </c>
    </row>
    <row r="63" spans="1:5">
      <c r="B63" s="35" t="s">
        <v>704</v>
      </c>
    </row>
    <row r="64" spans="1:5">
      <c r="A64" s="35" t="s">
        <v>705</v>
      </c>
      <c r="B64" s="35" t="s">
        <v>706</v>
      </c>
      <c r="C64" s="35" t="s">
        <v>662</v>
      </c>
    </row>
    <row r="65" spans="1:3">
      <c r="A65" s="35" t="s">
        <v>705</v>
      </c>
      <c r="B65" s="35" t="s">
        <v>707</v>
      </c>
      <c r="C65" s="35" t="s">
        <v>663</v>
      </c>
    </row>
    <row r="66" spans="1:3">
      <c r="A66" s="35" t="s">
        <v>705</v>
      </c>
      <c r="B66" s="35" t="s">
        <v>708</v>
      </c>
      <c r="C66" s="35" t="s">
        <v>665</v>
      </c>
    </row>
    <row r="67" spans="1:3">
      <c r="A67" s="35" t="s">
        <v>705</v>
      </c>
      <c r="B67" s="35" t="s">
        <v>709</v>
      </c>
      <c r="C67" s="35" t="s">
        <v>666</v>
      </c>
    </row>
    <row r="68" spans="1:3">
      <c r="A68" s="35" t="s">
        <v>705</v>
      </c>
      <c r="B68" s="35" t="s">
        <v>710</v>
      </c>
      <c r="C68" s="35" t="s">
        <v>668</v>
      </c>
    </row>
    <row r="69" spans="1:3">
      <c r="A69" s="35" t="s">
        <v>705</v>
      </c>
      <c r="B69" s="35" t="s">
        <v>711</v>
      </c>
      <c r="C69" s="35" t="s">
        <v>669</v>
      </c>
    </row>
    <row r="70" spans="1:3">
      <c r="A70" s="35" t="s">
        <v>705</v>
      </c>
      <c r="B70" s="35" t="s">
        <v>712</v>
      </c>
      <c r="C70" s="35" t="s">
        <v>687</v>
      </c>
    </row>
    <row r="71" spans="1:3">
      <c r="A71" s="35" t="s">
        <v>705</v>
      </c>
      <c r="B71" s="35" t="s">
        <v>713</v>
      </c>
      <c r="C71" s="35" t="s">
        <v>661</v>
      </c>
    </row>
  </sheetData>
  <pageMargins left="0.78736111111111118" right="0.78736111111111118" top="1.1512500000000001" bottom="1.1512500000000001" header="0.78736111111111118" footer="0.78736111111111118"/>
  <pageSetup paperSize="0" fitToWidth="0" fitToHeight="0" orientation="portrait" horizontalDpi="0" verticalDpi="0" copies="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N2:O47"/>
  <sheetViews>
    <sheetView topLeftCell="D1" workbookViewId="0">
      <selection activeCell="N4" sqref="N4"/>
    </sheetView>
  </sheetViews>
  <sheetFormatPr baseColWidth="10" defaultRowHeight="14.25"/>
  <cols>
    <col min="1" max="13" width="10.75" customWidth="1"/>
    <col min="14" max="14" width="13.375" customWidth="1"/>
    <col min="15" max="15" width="10.75" customWidth="1"/>
  </cols>
  <sheetData>
    <row r="2" spans="14:15">
      <c r="N2" t="s">
        <v>714</v>
      </c>
    </row>
    <row r="4" spans="14:15">
      <c r="N4" t="s">
        <v>55</v>
      </c>
      <c r="O4" t="s">
        <v>715</v>
      </c>
    </row>
    <row r="5" spans="14:15">
      <c r="N5" t="s">
        <v>716</v>
      </c>
      <c r="O5" t="s">
        <v>717</v>
      </c>
    </row>
    <row r="6" spans="14:15">
      <c r="N6" t="s">
        <v>718</v>
      </c>
      <c r="O6" t="s">
        <v>719</v>
      </c>
    </row>
    <row r="7" spans="14:15">
      <c r="N7" t="s">
        <v>720</v>
      </c>
      <c r="O7" t="s">
        <v>721</v>
      </c>
    </row>
    <row r="8" spans="14:15">
      <c r="N8" t="s">
        <v>722</v>
      </c>
      <c r="O8" t="s">
        <v>723</v>
      </c>
    </row>
    <row r="9" spans="14:15">
      <c r="N9" t="s">
        <v>724</v>
      </c>
    </row>
    <row r="10" spans="14:15">
      <c r="N10" t="s">
        <v>725</v>
      </c>
    </row>
    <row r="11" spans="14:15">
      <c r="N11" t="s">
        <v>726</v>
      </c>
      <c r="O11" t="s">
        <v>727</v>
      </c>
    </row>
    <row r="12" spans="14:15">
      <c r="N12" t="s">
        <v>728</v>
      </c>
      <c r="O12" t="s">
        <v>729</v>
      </c>
    </row>
    <row r="13" spans="14:15">
      <c r="N13" t="s">
        <v>730</v>
      </c>
    </row>
    <row r="14" spans="14:15">
      <c r="N14" t="s">
        <v>731</v>
      </c>
      <c r="O14" t="s">
        <v>719</v>
      </c>
    </row>
    <row r="15" spans="14:15">
      <c r="N15" t="s">
        <v>85</v>
      </c>
      <c r="O15" t="s">
        <v>732</v>
      </c>
    </row>
    <row r="16" spans="14:15">
      <c r="N16" t="s">
        <v>733</v>
      </c>
      <c r="O16" t="s">
        <v>734</v>
      </c>
    </row>
    <row r="17" spans="14:15" ht="16.5">
      <c r="N17" t="s">
        <v>735</v>
      </c>
      <c r="O17" t="s">
        <v>736</v>
      </c>
    </row>
    <row r="18" spans="14:15">
      <c r="N18" t="s">
        <v>737</v>
      </c>
    </row>
    <row r="19" spans="14:15">
      <c r="N19" t="s">
        <v>738</v>
      </c>
      <c r="O19" t="s">
        <v>739</v>
      </c>
    </row>
    <row r="20" spans="14:15">
      <c r="N20" t="s">
        <v>740</v>
      </c>
      <c r="O20" t="s">
        <v>741</v>
      </c>
    </row>
    <row r="21" spans="14:15">
      <c r="N21" t="s">
        <v>742</v>
      </c>
      <c r="O21" t="s">
        <v>743</v>
      </c>
    </row>
    <row r="22" spans="14:15">
      <c r="N22" t="s">
        <v>744</v>
      </c>
      <c r="O22" t="s">
        <v>745</v>
      </c>
    </row>
    <row r="23" spans="14:15">
      <c r="N23" t="s">
        <v>746</v>
      </c>
      <c r="O23" t="s">
        <v>747</v>
      </c>
    </row>
    <row r="24" spans="14:15">
      <c r="N24" t="s">
        <v>748</v>
      </c>
      <c r="O24" t="s">
        <v>749</v>
      </c>
    </row>
    <row r="25" spans="14:15">
      <c r="N25" t="s">
        <v>750</v>
      </c>
      <c r="O25" t="s">
        <v>751</v>
      </c>
    </row>
    <row r="27" spans="14:15">
      <c r="N27" t="s">
        <v>752</v>
      </c>
    </row>
    <row r="28" spans="14:15">
      <c r="N28" t="s">
        <v>753</v>
      </c>
    </row>
    <row r="29" spans="14:15">
      <c r="N29" t="s">
        <v>754</v>
      </c>
    </row>
    <row r="30" spans="14:15">
      <c r="N30" t="s">
        <v>755</v>
      </c>
    </row>
    <row r="32" spans="14:15">
      <c r="N32" t="s">
        <v>112</v>
      </c>
      <c r="O32" t="s">
        <v>756</v>
      </c>
    </row>
    <row r="34" spans="14:15">
      <c r="N34" t="s">
        <v>757</v>
      </c>
      <c r="O34" t="s">
        <v>758</v>
      </c>
    </row>
    <row r="35" spans="14:15">
      <c r="N35" t="s">
        <v>759</v>
      </c>
      <c r="O35" t="s">
        <v>760</v>
      </c>
    </row>
    <row r="36" spans="14:15">
      <c r="N36" t="s">
        <v>45</v>
      </c>
      <c r="O36" t="s">
        <v>761</v>
      </c>
    </row>
    <row r="38" spans="14:15">
      <c r="N38" t="s">
        <v>762</v>
      </c>
      <c r="O38" t="s">
        <v>763</v>
      </c>
    </row>
    <row r="39" spans="14:15">
      <c r="N39" t="s">
        <v>764</v>
      </c>
      <c r="O39" t="s">
        <v>765</v>
      </c>
    </row>
    <row r="40" spans="14:15">
      <c r="N40" t="s">
        <v>766</v>
      </c>
      <c r="O40" t="s">
        <v>767</v>
      </c>
    </row>
    <row r="41" spans="14:15" ht="16.5">
      <c r="N41" t="s">
        <v>768</v>
      </c>
      <c r="O41" t="s">
        <v>769</v>
      </c>
    </row>
    <row r="42" spans="14:15" ht="16.5">
      <c r="N42" t="s">
        <v>770</v>
      </c>
      <c r="O42" t="s">
        <v>771</v>
      </c>
    </row>
    <row r="43" spans="14:15">
      <c r="N43" t="s">
        <v>772</v>
      </c>
      <c r="O43" t="s">
        <v>773</v>
      </c>
    </row>
    <row r="44" spans="14:15">
      <c r="N44" t="s">
        <v>774</v>
      </c>
      <c r="O44" t="s">
        <v>775</v>
      </c>
    </row>
    <row r="46" spans="14:15">
      <c r="N46" t="s">
        <v>777</v>
      </c>
      <c r="O46" t="s">
        <v>778</v>
      </c>
    </row>
    <row r="47" spans="14:15">
      <c r="N47" t="s">
        <v>779</v>
      </c>
      <c r="O47" t="s">
        <v>780</v>
      </c>
    </row>
  </sheetData>
  <pageMargins left="0" right="0" top="0.39374999999999999" bottom="0.39374999999999999" header="0" footer="0"/>
  <pageSetup paperSize="0" fitToWidth="0" fitToHeight="0" pageOrder="overThenDown" horizontalDpi="0" verticalDpi="0" copies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ISA</vt:lpstr>
      <vt:lpstr>SYMS</vt:lpstr>
      <vt:lpstr>Busses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Hoffmeister, Michael</dc:creator>
  <cp:lastModifiedBy>Michael Hoffmeister</cp:lastModifiedBy>
  <cp:revision>236</cp:revision>
  <dcterms:created xsi:type="dcterms:W3CDTF">2017-12-23T11:00:53Z</dcterms:created>
  <dcterms:modified xsi:type="dcterms:W3CDTF">2018-05-04T20:29:30Z</dcterms:modified>
</cp:coreProperties>
</file>